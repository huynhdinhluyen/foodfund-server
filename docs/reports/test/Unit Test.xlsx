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Statistics" sheetId="3" r:id="rId6"/>
    <sheet state="visible" name="Functions" sheetId="4" r:id="rId7"/>
    <sheet state="visible" name="SignUp" sheetId="5" r:id="rId8"/>
    <sheet state="visible" name="ConfirmSignUp" sheetId="6" r:id="rId9"/>
    <sheet state="visible" name="SignIn" sheetId="7" r:id="rId10"/>
    <sheet state="visible" name="RequestCreateOrganization" sheetId="8" r:id="rId11"/>
    <sheet state="visible" name="CreateCampaign" sheetId="9" r:id="rId12"/>
    <sheet state="visible" name="CreateDonation" sheetId="10" r:id="rId13"/>
    <sheet state="visible" name="CreateOperationRequest" sheetId="11" r:id="rId14"/>
    <sheet state="visible" name="CreateIngredientRequest" sheetId="12" r:id="rId15"/>
    <sheet state="visible" name="CreateMealBatch" sheetId="13" r:id="rId16"/>
    <sheet state="visible" name="CreateCampaignCategory" sheetId="14" r:id="rId17"/>
  </sheets>
  <definedNames>
    <definedName localSheetId="6" name="Z_6F1DCD5D_5DAC_4817_BF40_2B66F6F593E6_.wvu.Cols">SignIn!$E:$E</definedName>
    <definedName localSheetId="7" name="Z_BE54E0AD_3725_4423_92D7_4F1C045BE1BC_.wvu.Cols">RequestCreateOrganization!$E:$E</definedName>
    <definedName localSheetId="9" name="Z_6F1DCD5D_5DAC_4817_BF40_2B66F6F593E6_.wvu.Cols">CreateDonation!$E:$E</definedName>
    <definedName localSheetId="8" name="Z_BE54E0AD_3725_4423_92D7_4F1C045BE1BC_.wvu.Cols">CreateCampaign!$E:$E</definedName>
    <definedName localSheetId="2" name="Z_2C0D9096_8D85_462A_A9B5_0B488ADB4269_.wvu.PrintArea">Statistics!$A:$I</definedName>
    <definedName localSheetId="4" name="Z_BE54E0AD_3725_4423_92D7_4F1C045BE1BC_.wvu.Cols">SignUp!$E:$E</definedName>
    <definedName localSheetId="10" name="Z_BE54E0AD_3725_4423_92D7_4F1C045BE1BC_.wvu.Cols">CreateOperationRequest!$E:$E</definedName>
    <definedName localSheetId="12" name="Z_6F1DCD5D_5DAC_4817_BF40_2B66F6F593E6_.wvu.Cols">CreateMealBatch!$E:$E</definedName>
    <definedName localSheetId="2" name="Z_BE54E0AD_3725_4423_92D7_4F1C045BE1BC_.wvu.PrintArea">Statistics!$A:$I</definedName>
    <definedName localSheetId="5" name="Z_BE54E0AD_3725_4423_92D7_4F1C045BE1BC_.wvu.Cols">ConfirmSignUp!$E:$E</definedName>
    <definedName localSheetId="10" name="Z_6F1DCD5D_5DAC_4817_BF40_2B66F6F593E6_.wvu.Cols">CreateOperationRequest!$E:$E</definedName>
    <definedName localSheetId="10" name="Z_2C0D9096_8D85_462A_A9B5_0B488ADB4269_.wvu.Cols">CreateOperationRequest!$E:$E</definedName>
    <definedName localSheetId="5" name="Z_2C0D9096_8D85_462A_A9B5_0B488ADB4269_.wvu.Cols">ConfirmSignUp!$E:$E</definedName>
    <definedName localSheetId="6" name="Z_BE54E0AD_3725_4423_92D7_4F1C045BE1BC_.wvu.Cols">SignIn!$E:$E</definedName>
    <definedName localSheetId="12" name="Z_BE54E0AD_3725_4423_92D7_4F1C045BE1BC_.wvu.Cols">CreateMealBatch!$E:$E</definedName>
    <definedName localSheetId="5" name="Z_6F1DCD5D_5DAC_4817_BF40_2B66F6F593E6_.wvu.Cols">ConfirmSignUp!$E:$E</definedName>
    <definedName localSheetId="4" name="Z_6F1DCD5D_5DAC_4817_BF40_2B66F6F593E6_.wvu.Cols">SignUp!$E:$E</definedName>
    <definedName localSheetId="2" name="Z_6F1DCD5D_5DAC_4817_BF40_2B66F6F593E6_.wvu.PrintArea">Statistics!$A:$I</definedName>
    <definedName localSheetId="8" name="Z_2C0D9096_8D85_462A_A9B5_0B488ADB4269_.wvu.Cols">CreateCampaign!$E:$E</definedName>
    <definedName localSheetId="9" name="Z_2C0D9096_8D85_462A_A9B5_0B488ADB4269_.wvu.Cols">CreateDonation!$E:$E</definedName>
    <definedName localSheetId="11" name="Z_BE54E0AD_3725_4423_92D7_4F1C045BE1BC_.wvu.Cols">CreateIngredientRequest!$E:$E</definedName>
    <definedName localSheetId="8" name="Z_6F1DCD5D_5DAC_4817_BF40_2B66F6F593E6_.wvu.Cols">CreateCampaign!$E:$E</definedName>
    <definedName name="ACTION">#REF!</definedName>
    <definedName localSheetId="11" name="Z_6F1DCD5D_5DAC_4817_BF40_2B66F6F593E6_.wvu.Cols">CreateIngredientRequest!$E:$E</definedName>
    <definedName localSheetId="4" name="Z_2C0D9096_8D85_462A_A9B5_0B488ADB4269_.wvu.Cols">SignUp!$E:$E</definedName>
    <definedName localSheetId="6" name="Z_2C0D9096_8D85_462A_A9B5_0B488ADB4269_.wvu.Cols">SignIn!$E:$E</definedName>
    <definedName localSheetId="13" name="Z_6F1DCD5D_5DAC_4817_BF40_2B66F6F593E6_.wvu.Cols">CreateCampaignCategory!$E:$E</definedName>
    <definedName localSheetId="11" name="Z_2C0D9096_8D85_462A_A9B5_0B488ADB4269_.wvu.Cols">CreateIngredientRequest!$E:$E</definedName>
    <definedName localSheetId="9" name="Z_BE54E0AD_3725_4423_92D7_4F1C045BE1BC_.wvu.Cols">CreateDonation!$E:$E</definedName>
    <definedName localSheetId="12" name="Z_2C0D9096_8D85_462A_A9B5_0B488ADB4269_.wvu.Cols">CreateMealBatch!$E:$E</definedName>
    <definedName localSheetId="7" name="Z_6F1DCD5D_5DAC_4817_BF40_2B66F6F593E6_.wvu.Cols">RequestCreateOrganization!$E:$E</definedName>
    <definedName localSheetId="13" name="Z_BE54E0AD_3725_4423_92D7_4F1C045BE1BC_.wvu.Cols">CreateCampaignCategory!$E:$E</definedName>
    <definedName localSheetId="13" name="Z_2C0D9096_8D85_462A_A9B5_0B488ADB4269_.wvu.Cols">CreateCampaignCategory!$E:$E</definedName>
    <definedName localSheetId="7" name="Z_2C0D9096_8D85_462A_A9B5_0B488ADB4269_.wvu.Cols">RequestCreateOrganization!$E:$E</definedName>
    <definedName hidden="1" name="Google_Sheet_Link_1048832285_2095155102">Z_6F1DCD5D_5DAC_4817_BF40_2B66F6F593E6_.wvu.Cols</definedName>
    <definedName hidden="1" name="Google_Sheet_Link_1060423977_430291145">Z_6F1DCD5D_5DAC_4817_BF40_2B66F6F593E6_.wvu.Cols</definedName>
    <definedName hidden="1" name="Google_Sheet_Link_1089754777_1286177634">Z_BE54E0AD_3725_4423_92D7_4F1C045BE1BC_.wvu.Cols</definedName>
    <definedName hidden="1" name="Google_Sheet_Link_1138679811_210096269">Z_2C0D9096_8D85_462A_A9B5_0B488ADB4269_.wvu.Cols</definedName>
    <definedName hidden="1" name="Google_Sheet_Link_1140798657_1159121623">Z_6F1DCD5D_5DAC_4817_BF40_2B66F6F593E6_.wvu.Cols</definedName>
    <definedName hidden="1" name="Google_Sheet_Link_1194499157_696164354">Z_2C0D9096_8D85_462A_A9B5_0B488ADB4269_.wvu.Cols</definedName>
    <definedName hidden="1" name="Google_Sheet_Link_1344038186_169008025">Z_BE54E0AD_3725_4423_92D7_4F1C045BE1BC_.wvu.Cols</definedName>
    <definedName hidden="1" name="Google_Sheet_Link_1423096480_521375561">Z_BE54E0AD_3725_4423_92D7_4F1C045BE1BC_.wvu.Cols</definedName>
    <definedName hidden="1" name="Google_Sheet_Link_1464809017_969566601">Z_2C0D9096_8D85_462A_A9B5_0B488ADB4269_.wvu.PrintArea</definedName>
    <definedName hidden="1" name="Google_Sheet_Link_1579204028_1665659489">Z_2C0D9096_8D85_462A_A9B5_0B488ADB4269_.wvu.Cols</definedName>
    <definedName hidden="1" name="Google_Sheet_Link_1607045028_2095155102">Z_2C0D9096_8D85_462A_A9B5_0B488ADB4269_.wvu.Cols</definedName>
    <definedName hidden="1" name="Google_Sheet_Link_1610741751_969566601">Z_BE54E0AD_3725_4423_92D7_4F1C045BE1BC_.wvu.PrintArea</definedName>
    <definedName hidden="1" name="Google_Sheet_Link_1687379650_169008025">Z_6F1DCD5D_5DAC_4817_BF40_2B66F6F593E6_.wvu.Cols</definedName>
    <definedName hidden="1" name="Google_Sheet_Link_173575295_47997167">Z_6F1DCD5D_5DAC_4817_BF40_2B66F6F593E6_.wvu.Cols</definedName>
    <definedName hidden="1" name="Google_Sheet_Link_1816015069_47997167">Z_2C0D9096_8D85_462A_A9B5_0B488ADB4269_.wvu.Cols</definedName>
    <definedName hidden="1" name="Google_Sheet_Link_1927153420_696164354">Z_BE54E0AD_3725_4423_92D7_4F1C045BE1BC_.wvu.Cols</definedName>
    <definedName hidden="1" name="Google_Sheet_Link_2036141632_1159121623">Z_BE54E0AD_3725_4423_92D7_4F1C045BE1BC_.wvu.Cols</definedName>
    <definedName hidden="1" name="Google_Sheet_Link_2040851827_430291145">Z_BE54E0AD_3725_4423_92D7_4F1C045BE1BC_.wvu.Cols</definedName>
    <definedName hidden="1" name="Google_Sheet_Link_2092242508_430291145">Z_2C0D9096_8D85_462A_A9B5_0B488ADB4269_.wvu.Cols</definedName>
    <definedName hidden="1" name="Google_Sheet_Link_255593472_1665659489">Z_6F1DCD5D_5DAC_4817_BF40_2B66F6F593E6_.wvu.Cols</definedName>
    <definedName hidden="1" name="Google_Sheet_Link_281716484_1286177634">Z_2C0D9096_8D85_462A_A9B5_0B488ADB4269_.wvu.Cols</definedName>
    <definedName hidden="1" name="Google_Sheet_Link_310510484_521375561">Z_6F1DCD5D_5DAC_4817_BF40_2B66F6F593E6_.wvu.Cols</definedName>
    <definedName hidden="1" name="Google_Sheet_Link_329007333_2095155102">Z_BE54E0AD_3725_4423_92D7_4F1C045BE1BC_.wvu.Cols</definedName>
    <definedName hidden="1" name="Google_Sheet_Link_356089286_1159121623">Z_2C0D9096_8D85_462A_A9B5_0B488ADB4269_.wvu.Cols</definedName>
    <definedName hidden="1" name="Google_Sheet_Link_378993442_521375561">Z_2C0D9096_8D85_462A_A9B5_0B488ADB4269_.wvu.Cols</definedName>
    <definedName hidden="1" name="Google_Sheet_Link_403379427_210096269">Z_BE54E0AD_3725_4423_92D7_4F1C045BE1BC_.wvu.Cols</definedName>
    <definedName hidden="1" name="Google_Sheet_Link_408790379_969566601">Z_6F1DCD5D_5DAC_4817_BF40_2B66F6F593E6_.wvu.PrintArea</definedName>
    <definedName hidden="1" name="Google_Sheet_Link_446111481_47997167">Z_BE54E0AD_3725_4423_92D7_4F1C045BE1BC_.wvu.Cols</definedName>
    <definedName hidden="1" name="Google_Sheet_Link_484150078_1286177634">Z_6F1DCD5D_5DAC_4817_BF40_2B66F6F593E6_.wvu.Cols</definedName>
    <definedName hidden="1" name="Google_Sheet_Link_570023077_169008025">Z_2C0D9096_8D85_462A_A9B5_0B488ADB4269_.wvu.Cols</definedName>
    <definedName hidden="1" name="Google_Sheet_Link_706739401_210096269">Z_6F1DCD5D_5DAC_4817_BF40_2B66F6F593E6_.wvu.Cols</definedName>
    <definedName hidden="1" name="Google_Sheet_Link_711643126_1665659489">Z_BE54E0AD_3725_4423_92D7_4F1C045BE1BC_.wvu.Cols</definedName>
    <definedName hidden="1" name="Google_Sheet_Link_857638507_696164354">Z_6F1DCD5D_5DAC_4817_BF40_2B66F6F593E6_.wvu.Cols</definedName>
  </definedNames>
  <calcPr/>
  <extLst>
    <ext uri="GoogleSheetsCustomDataVersion2">
      <go:sheetsCustomData xmlns:go="http://customooxmlschemas.google.com/" r:id="rId18" roundtripDataChecksum="EDm5hy4eApFSZGucE4JeKWWvLTcy39vbzI+8eFPVGz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ID#AAABrS2mrlg
    (2025-09-19 14:57:16)
*A: Add
  M: Modify
  D: Delete</t>
      </text>
    </comment>
  </commentList>
  <extLst>
    <ext uri="GoogleSheetsCustomDataVersion2">
      <go:sheetsCustomData xmlns:go="http://customooxmlschemas.google.com/" r:id="rId1" roundtripDataSignature="AMtx7mjDRlLLxQAJDw7OiBN7abQVGeXh/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ID#AAABrS2mrlw
ANa    (2025-09-19 14:57:16)
Not mandatory</t>
      </text>
    </comment>
    <comment authorId="0" ref="A5">
      <text>
        <t xml:space="preserve">======
ID#AAABrS2mrlo
Nguyen Hoang Anh    (2025-09-19 14:57:16)
Not mandatory</t>
      </text>
    </comment>
  </commentList>
  <extLst>
    <ext uri="GoogleSheetsCustomDataVersion2">
      <go:sheetsCustomData xmlns:go="http://customooxmlschemas.google.com/" r:id="rId1" roundtripDataSignature="AMtx7mgb9FHxTH/vc9Kjoo92VONVVM7Q3Q=="/>
    </ext>
  </extLst>
</comments>
</file>

<file path=xl/sharedStrings.xml><?xml version="1.0" encoding="utf-8"?>
<sst xmlns="http://schemas.openxmlformats.org/spreadsheetml/2006/main" count="2219" uniqueCount="386">
  <si>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</si>
  <si>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</si>
  <si>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</si>
  <si>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</si>
  <si>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</si>
  <si>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</si>
  <si>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</si>
  <si>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</si>
  <si>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</si>
  <si>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</si>
  <si>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</si>
  <si>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</si>
  <si>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</si>
  <si>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</si>
  <si>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</si>
  <si>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</si>
  <si>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</si>
  <si>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</si>
  <si>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</si>
  <si>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</si>
  <si>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</si>
  <si>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</si>
  <si>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</si>
  <si>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</si>
  <si>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</si>
  <si>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</si>
  <si>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</si>
  <si>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</si>
  <si>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</si>
  <si>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</si>
  <si>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</si>
  <si>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</si>
  <si>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</si>
  <si>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</si>
  <si>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</si>
  <si>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</si>
  <si>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</si>
  <si>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</si>
  <si>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</si>
  <si>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</si>
  <si>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</si>
  <si>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</si>
  <si>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</si>
  <si>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</si>
  <si>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</si>
  <si>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</si>
  <si>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</si>
  <si>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FoodFund - A crowdfunding system for food preparation and distribution to support communities in need</t>
  </si>
  <si>
    <t>Creator</t>
  </si>
  <si>
    <t>PhuocTM</t>
  </si>
  <si>
    <t>Project Code</t>
  </si>
  <si>
    <t>FA25SE52</t>
  </si>
  <si>
    <t>Issue Date</t>
  </si>
  <si>
    <t>30/11/2025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</si>
  <si>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</si>
  <si>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</si>
  <si>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</si>
  <si>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</si>
  <si>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</si>
  <si>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</si>
  <si>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</si>
  <si>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</si>
  <si>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30/10/2025</t>
  </si>
  <si>
    <t>1.0</t>
  </si>
  <si>
    <t>All</t>
  </si>
  <si>
    <t>A</t>
  </si>
  <si>
    <t>Add new unit test document</t>
  </si>
  <si>
    <t>1.1</t>
  </si>
  <si>
    <t>Statistics, Functions</t>
  </si>
  <si>
    <t>Add more unit tests</t>
  </si>
  <si>
    <t>14/12/2025</t>
  </si>
  <si>
    <t>1.2</t>
  </si>
  <si>
    <t>Add unit tests for create Campaign Category</t>
  </si>
  <si>
    <t>CreateCampaignCategory</t>
  </si>
  <si>
    <t>UNIT TEST REPORT</t>
  </si>
  <si>
    <t>Reviewer/Approver</t>
  </si>
  <si>
    <t>Nguyễn Minh Sang</t>
  </si>
  <si>
    <t>Notes</t>
  </si>
  <si>
    <t>No</t>
  </si>
  <si>
    <t>Function code</t>
  </si>
  <si>
    <t>Passed</t>
  </si>
  <si>
    <t>Failed</t>
  </si>
  <si>
    <t>Untested</t>
  </si>
  <si>
    <t>N</t>
  </si>
  <si>
    <t>B</t>
  </si>
  <si>
    <t>Total Test Cases</t>
  </si>
  <si>
    <t>SignUp</t>
  </si>
  <si>
    <t>SignIn</t>
  </si>
  <si>
    <t>ConfirmSignUp</t>
  </si>
  <si>
    <t>RequestCreateOrganization</t>
  </si>
  <si>
    <t>CreateCampaign</t>
  </si>
  <si>
    <t>CreateDonation</t>
  </si>
  <si>
    <t>CreateOperationRequest</t>
  </si>
  <si>
    <t>CreateIngredientRequest</t>
  </si>
  <si>
    <t>CreateMealBatch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</si>
  <si>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</si>
  <si>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</si>
  <si>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</si>
  <si>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</si>
  <si>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</si>
  <si>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</si>
  <si>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</si>
  <si>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List</t>
  </si>
  <si>
    <t xml:space="preserve">Normal number of Test cases/KLOC </t>
  </si>
  <si>
    <t>Test Environment Setup Description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</si>
  <si>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</si>
  <si>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</si>
  <si>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</si>
  <si>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</si>
  <si>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</si>
  <si>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</si>
  <si>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</si>
  <si>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RegistrationResolver</t>
  </si>
  <si>
    <t>signUp</t>
  </si>
  <si>
    <t>SU</t>
  </si>
  <si>
    <t>AuthenticationResolver</t>
  </si>
  <si>
    <t>signIn</t>
  </si>
  <si>
    <t>SI</t>
  </si>
  <si>
    <t>confirmSignUp</t>
  </si>
  <si>
    <t>CSU</t>
  </si>
  <si>
    <t>DonorProfileResolver</t>
  </si>
  <si>
    <t>requestCreateOrganization</t>
  </si>
  <si>
    <t>RCO</t>
  </si>
  <si>
    <t>CampaignMutationResolver</t>
  </si>
  <si>
    <t>createCampaign</t>
  </si>
  <si>
    <t>CC</t>
  </si>
  <si>
    <t>DonorMutationResolver</t>
  </si>
  <si>
    <t>createDonation</t>
  </si>
  <si>
    <t>CD</t>
  </si>
  <si>
    <t>OperationRequestMutationResolver</t>
  </si>
  <si>
    <t>createOperationRequest</t>
  </si>
  <si>
    <t>COR</t>
  </si>
  <si>
    <t>IngredientRequestMutationResolver</t>
  </si>
  <si>
    <t>createIngredientRequest</t>
  </si>
  <si>
    <t>CIR</t>
  </si>
  <si>
    <t>MealBatchMutationResolver</t>
  </si>
  <si>
    <t>createMealBatch</t>
  </si>
  <si>
    <t>CMB</t>
  </si>
  <si>
    <t>CampaignCategoryMutationResolver</t>
  </si>
  <si>
    <t>createCampaignCategory</t>
  </si>
  <si>
    <t>CCC</t>
  </si>
  <si>
    <t>Function Code</t>
  </si>
  <si>
    <t>Created By</t>
  </si>
  <si>
    <t>Executed By</t>
  </si>
  <si>
    <t>Lines  of code</t>
  </si>
  <si>
    <t>Lack of test cases</t>
  </si>
  <si>
    <t>Test requirement</t>
  </si>
  <si>
    <t>Verify sign up function work properly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</si>
  <si>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</si>
  <si>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</si>
  <si>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</si>
  <si>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</si>
  <si>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</si>
  <si>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</si>
  <si>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</si>
  <si>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</si>
  <si>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Condition</t>
  </si>
  <si>
    <t xml:space="preserve">Precondition </t>
  </si>
  <si>
    <t>Can connect with server</t>
  </si>
  <si>
    <t>O</t>
  </si>
  <si>
    <t>email</t>
  </si>
  <si>
    <t>newuser@example.com</t>
  </si>
  <si>
    <t>existing@example.com</t>
  </si>
  <si>
    <t>""</t>
  </si>
  <si>
    <t>invalidemail</t>
  </si>
  <si>
    <t>name</t>
  </si>
  <si>
    <t>Minh Phuoc</t>
  </si>
  <si>
    <t>Password</t>
  </si>
  <si>
    <t>Confirm</t>
  </si>
  <si>
    <t>Return</t>
  </si>
  <si>
    <t>T</t>
  </si>
  <si>
    <t>F</t>
  </si>
  <si>
    <t>Exception</t>
  </si>
  <si>
    <t>Throw UsernameExistsException</t>
  </si>
  <si>
    <t>Throw InvalidPasswordException</t>
  </si>
  <si>
    <t>Throw Validation Error</t>
  </si>
  <si>
    <t>Log message</t>
  </si>
  <si>
    <t>"User registered successfully. Please check your email for verification code."</t>
  </si>
  <si>
    <t>"An account with the given email already exists"</t>
  </si>
  <si>
    <t>"Password not long enough"</t>
  </si>
  <si>
    <t>"Email is required"</t>
  </si>
  <si>
    <t>"Password is required"</t>
  </si>
  <si>
    <t>"Name is required"</t>
  </si>
  <si>
    <t>"Invalid email format"</t>
  </si>
  <si>
    <t>Result</t>
  </si>
  <si>
    <t>Type(N : Normal, A : Abnormal, B : Boundary)</t>
  </si>
  <si>
    <t>Passed/Failed</t>
  </si>
  <si>
    <t>P</t>
  </si>
  <si>
    <t>Executed Date</t>
  </si>
  <si>
    <t>Defect ID</t>
  </si>
  <si>
    <t>Verify confirm sign up function work properly</t>
  </si>
  <si>
    <t>UTCID08</t>
  </si>
  <si>
    <t>test@example.com</t>
  </si>
  <si>
    <t>notexisting@example.com</t>
  </si>
  <si>
    <t>verified@example.com</t>
  </si>
  <si>
    <t>notvalidemail</t>
  </si>
  <si>
    <t>confirmationCode</t>
  </si>
  <si>
    <t>Throw CodeMismatchException</t>
  </si>
  <si>
    <t>Throw ExpiredCodeException</t>
  </si>
  <si>
    <t>Throw UserNotFoundException</t>
  </si>
  <si>
    <t>Throw UserVerifiedAlreadyException</t>
  </si>
  <si>
    <t>"Email confirmed successfully. You can now sign in"</t>
  </si>
  <si>
    <t>"Invalid verification code provided"</t>
  </si>
  <si>
    <t>"Invalid code provided, please request a code again"</t>
  </si>
  <si>
    <t>"User does not exist"</t>
  </si>
  <si>
    <t>"User cannot be confirmed"</t>
  </si>
  <si>
    <t>"Confirmation code is required"</t>
  </si>
  <si>
    <t>Verify sign in function work properly</t>
  </si>
  <si>
    <t>unverified@example.com</t>
  </si>
  <si>
    <t>inactive@example.com</t>
  </si>
  <si>
    <t>Throw NotAuthorizedException</t>
  </si>
  <si>
    <t>Throw UserNotConfirmedException</t>
  </si>
  <si>
    <t>Throw UnauthorizedException</t>
  </si>
  <si>
    <t>"Sign in successful"</t>
  </si>
  <si>
    <t>"Incorrect username or password"</t>
  </si>
  <si>
    <t>"User is not confirmed"</t>
  </si>
  <si>
    <t>"User is not active"</t>
  </si>
  <si>
    <t>UTCID09</t>
  </si>
  <si>
    <t>UTCID10</t>
  </si>
  <si>
    <t>UTCID11</t>
  </si>
  <si>
    <t>UTCID12</t>
  </si>
  <si>
    <t>UTCID13</t>
  </si>
  <si>
    <t>Tổ chức Cứu Trợ Thực Phẩm Hồ Chí Minh</t>
  </si>
  <si>
    <t>activity_field</t>
  </si>
  <si>
    <t>Hỗ trợ lương thực cộng đồng</t>
  </si>
  <si>
    <t>address</t>
  </si>
  <si>
    <t>123 Đường Pasteur, Quận 1, TP.HCM</t>
  </si>
  <si>
    <t>description</t>
  </si>
  <si>
    <t>Tổ chức phi lợi nhuận chuyên cung cấp suất ăn cho người nghèo</t>
  </si>
  <si>
    <t>representative_name</t>
  </si>
  <si>
    <t>Huỳnh Văn A</t>
  </si>
  <si>
    <t>Trần Văn B</t>
  </si>
  <si>
    <t>representative_identity_number</t>
  </si>
  <si>
    <t>bank_account_name</t>
  </si>
  <si>
    <t>bank_account_number</t>
  </si>
  <si>
    <t>bank_name</t>
  </si>
  <si>
    <t>Ngân hàng TMCP Ngoại Thương Việt Nam</t>
  </si>
  <si>
    <t>bank_short_name</t>
  </si>
  <si>
    <t>VCB</t>
  </si>
  <si>
    <t>foodfund.last929@aleeas.com</t>
  </si>
  <si>
    <t>invalid-email</t>
  </si>
  <si>
    <t>website</t>
  </si>
  <si>
    <t>https://cuutro.example.org</t>
  </si>
  <si>
    <t>not-a-url</t>
  </si>
  <si>
    <t xml:space="preserve">phone_number </t>
  </si>
  <si>
    <t>Throw BadRequestException</t>
  </si>
  <si>
    <t>"Organization request "{name}" has been submitted successfully. Waiting for admin approval."</t>
  </si>
  <si>
    <t>"Organization bank account name mismatch"</t>
  </si>
  <si>
    <t>"name is required"</t>
  </si>
  <si>
    <t>"email must be a valid email"</t>
  </si>
  <si>
    <t>"phone_number must be a valid Vietnamese phone number"</t>
  </si>
  <si>
    <t>"website must be a valid URL"</t>
  </si>
  <si>
    <t>"activity_field is required"</t>
  </si>
  <si>
    <t>"address is required"</t>
  </si>
  <si>
    <t>"description is required"</t>
  </si>
  <si>
    <t>"representative_identity_number is required"</t>
  </si>
  <si>
    <t>"bank_account_number is required"</t>
  </si>
  <si>
    <t>"bank_name is required"</t>
  </si>
  <si>
    <t>LuyenHD</t>
  </si>
  <si>
    <t>UTCID14</t>
  </si>
  <si>
    <t>UTCID15</t>
  </si>
  <si>
    <t>UTCID16</t>
  </si>
  <si>
    <t>UTCID17</t>
  </si>
  <si>
    <t>UTCID18</t>
  </si>
  <si>
    <t>UTCID19</t>
  </si>
  <si>
    <t>Logged in with the fundraiser account</t>
  </si>
  <si>
    <t>title</t>
  </si>
  <si>
    <t>Chương trình Suất ăn miễn phí</t>
  </si>
  <si>
    <t>test</t>
  </si>
  <si>
    <t>Quyên góp để nấu những suất ăn đầy đủ chất dinh dưỡng</t>
  </si>
  <si>
    <t>short description</t>
  </si>
  <si>
    <t>coverImageFileKey</t>
  </si>
  <si>
    <t>campaigns/2025-12-07/baa19da8-temp-1765072886884-19eaa51c-5061-7097-52d0-fa60f6db38e1.jpg</t>
  </si>
  <si>
    <t>invalid-key</t>
  </si>
  <si>
    <t>wrong/path/file.jpg</t>
  </si>
  <si>
    <t>targetAmount</t>
  </si>
  <si>
    <t>abc</t>
  </si>
  <si>
    <t>fundraisingStartDate</t>
  </si>
  <si>
    <t>null</t>
  </si>
  <si>
    <t>fundraisingEndDate</t>
  </si>
  <si>
    <t>categoryId</t>
  </si>
  <si>
    <t>745665c5-9891-44a2-acc2-748e032214ce</t>
  </si>
  <si>
    <t>not-exist-uuid</t>
  </si>
  <si>
    <t>invalid-id</t>
  </si>
  <si>
    <t>phases</t>
  </si>
  <si>
    <t>[valid phase]</t>
  </si>
  <si>
    <t>[]</t>
  </si>
  <si>
    <t xml:space="preserve">	Throw BadRequestException</t>
  </si>
  <si>
    <t>Throw NotFoundException</t>
  </si>
  <si>
    <t>"Campaign created successfully"</t>
  </si>
  <si>
    <t>"title must be a non-empty string"</t>
  </si>
  <si>
    <t>"Title must be at least 5 characters"</t>
  </si>
  <si>
    <t>"description must be a non-empty string"</t>
  </si>
  <si>
    <t>"Description must be at least 20 characters"</t>
  </si>
  <si>
    <t>"Cover image file not found. Please upload the file first using generateUploadUrl."</t>
  </si>
  <si>
    <t>"Invalid file key. Please use a valid file key from generateCampaignImageUploadUrl."</t>
  </si>
  <si>
    <t>"coverImageFileKey must be a non-empty string"</t>
  </si>
  <si>
    <t>"Target amount must be greater than 0"</t>
  </si>
  <si>
    <t>"Target amount must be a number string"</t>
  </si>
  <si>
    <t>""targetAmount must be a non-empty string"</t>
  </si>
  <si>
    <t>"End date must be after start date"</t>
  </si>
  <si>
    <t>"fundraisingStartDate is required"</t>
  </si>
  <si>
    <t>"fundraisingEndDate is required"</t>
  </si>
  <si>
    <t>"Category not found"</t>
  </si>
  <si>
    <t>"categoryId must be a valid UUID"</t>
  </si>
  <si>
    <t>"At least one campaign phase is required"</t>
  </si>
  <si>
    <t>"At least one phase is required"</t>
  </si>
  <si>
    <t>donorId</t>
  </si>
  <si>
    <t>f9aa955c-4051-709c-4ffc-005fd148ef48</t>
  </si>
  <si>
    <t>campaignId</t>
  </si>
  <si>
    <t>amount</t>
  </si>
  <si>
    <t>isAnonymous</t>
  </si>
  <si>
    <t>"yes"</t>
  </si>
  <si>
    <t>"Create Donation Success"</t>
  </si>
  <si>
    <t>"Campaign ID is required"</t>
  </si>
  <si>
    <t>"Campaign ID must be a valid UUID"</t>
  </si>
  <si>
    <t>"Throw NotFoundException"</t>
  </si>
  <si>
    <t>"Minimum donation amount is 1,000 VND"</t>
  </si>
  <si>
    <t>"Maximum donation amount is 500,000,000 VND"</t>
  </si>
  <si>
    <t>"Amount is required"</t>
  </si>
  <si>
    <t>"isAnonymous must be a boolean"</t>
  </si>
  <si>
    <t>Logged in with the kitchen staff/fundraiser account</t>
  </si>
  <si>
    <t>campaignPhaseId</t>
  </si>
  <si>
    <t>Chi phí nấu ăn ngày 1</t>
  </si>
  <si>
    <t>totalCost</t>
  </si>
  <si>
    <t>expenseType</t>
  </si>
  <si>
    <t>COOKING</t>
  </si>
  <si>
    <t>DELIVERY</t>
  </si>
  <si>
    <t>INVALID</t>
  </si>
  <si>
    <t>"Create operation request successfully"</t>
  </si>
  <si>
    <t>"Campaign phase ID is required"</t>
  </si>
  <si>
    <t>"Campaign phase not found"</t>
  </si>
  <si>
    <t>"Title is required"</t>
  </si>
  <si>
    <t>"Total cost is required"</t>
  </si>
  <si>
    <t>"Total cost must be greater than 0"</t>
  </si>
  <si>
    <t>"Invalid total cost"</t>
  </si>
  <si>
    <t>"Insufficient budget for this request"</t>
  </si>
  <si>
    <t>"Expense type is required"</t>
  </si>
  <si>
    <t>"Expense type must be COOKING or DELIVERY"</t>
  </si>
  <si>
    <t>Logged in with the kitchen staff account</t>
  </si>
  <si>
    <t>items</t>
  </si>
  <si>
    <t>[valid item]</t>
  </si>
  <si>
    <t>"Create ingredient request successfully"</t>
  </si>
  <si>
    <t>"totalCost must be a non-empty string"</t>
  </si>
  <si>
    <t>"At least one ingredient item is required"</t>
  </si>
  <si>
    <t>plannedMealId</t>
  </si>
  <si>
    <t>valid-uuid</t>
  </si>
  <si>
    <t>foodName</t>
  </si>
  <si>
    <t>Cơm gà</t>
  </si>
  <si>
    <t>Ab</t>
  </si>
  <si>
    <t>quantity</t>
  </si>
  <si>
    <t>mediaFileKeys</t>
  </si>
  <si>
    <t>["key1", "key2"]</t>
  </si>
  <si>
    <t>["invalid-key"]</t>
  </si>
  <si>
    <t>[123, "key1"]</t>
  </si>
  <si>
    <t>ingredientIds</t>
  </si>
  <si>
    <t>["id1", "id2"]</t>
  </si>
  <si>
    <t>["not-exist-id"]</t>
  </si>
  <si>
    <t>[123, "id1"]</t>
  </si>
  <si>
    <t>"Create Meal Batch successfully"</t>
  </si>
  <si>
    <t>"Food name is required"</t>
  </si>
  <si>
    <t>"Food name must be at least 3 characters"</t>
  </si>
  <si>
    <t>"Quantity must be at least 1"</t>
  </si>
  <si>
    <t>"Quantity must be an integer"</t>
  </si>
  <si>
    <t>"At least 1 media file is required"</t>
  </si>
  <si>
    <t>"Media file keys must be an array"</t>
  </si>
  <si>
    <t>"Invalid file keys: invalid-key"</t>
  </si>
  <si>
    <t>"Each media file key must be a string"</t>
  </si>
  <si>
    <t>"At least 1 ingredient is required"</t>
  </si>
  <si>
    <t>"Ingredient IDs must be an array"</t>
  </si>
  <si>
    <t>"Some ingredient items not found"</t>
  </si>
  <si>
    <t>"Each ingredient ID must be a string"</t>
  </si>
  <si>
    <t>Logged in with the admin account</t>
  </si>
  <si>
    <t>Logged in with the donor account</t>
  </si>
  <si>
    <t>Logged in with the delivery staff account</t>
  </si>
  <si>
    <t>Category title already exists</t>
  </si>
  <si>
    <t>Hỗ trợ suất ăn</t>
  </si>
  <si>
    <t>title length 101 characters</t>
  </si>
  <si>
    <t>Xóa đói, hỗ trợ thức ăn</t>
  </si>
  <si>
    <t>Throw ForbiddenException</t>
  </si>
  <si>
    <t>"Create Campaign Category successfully"</t>
  </si>
  <si>
    <t>"Title is required and cannot be empty"</t>
  </si>
  <si>
    <t>"Description is required and cannot be empty"</t>
  </si>
  <si>
    <t>"Category with title ${input.title} already exists"</t>
  </si>
  <si>
    <t>"Title should not be greater than 100 characters"</t>
  </si>
  <si>
    <t>"Only admin can create campaign category"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</si>
</sst>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mm\-yy"/>
    <numFmt numFmtId="165" formatCode="mm/dd"/>
    <numFmt numFmtId="166" formatCode="yyyy-mm-dd"/>
  </numFmts>
  <fonts count="33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0.0"/>
      <color rgb="FF0000FF"/>
      <name val="Tahoma"/>
    </font>
    <font>
      <sz val="8.0"/>
      <color theme="1"/>
      <name val="Tahoma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sz val="8.0"/>
      <color rgb="FF008000"/>
      <name val="Tahoma"/>
    </font>
    <font>
      <sz val="8.0"/>
      <color rgb="FF00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/>
      <right/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/>
      <bottom/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horizontal="left" readingOrder="0" shrinkToFit="0" vertical="bottom" wrapText="1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5" fillId="3" fontId="9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6" fillId="4" fontId="15" numFmtId="164" xfId="0" applyAlignment="1" applyBorder="1" applyFill="1" applyFont="1" applyNumberFormat="1">
      <alignment horizontal="center" shrinkToFit="0" vertical="center" wrapText="0"/>
    </xf>
    <xf borderId="7" fillId="4" fontId="15" numFmtId="0" xfId="0" applyAlignment="1" applyBorder="1" applyFon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9" fillId="0" fontId="7" numFmtId="0" xfId="0" applyAlignment="1" applyBorder="1" applyFont="1">
      <alignment readingOrder="0" shrinkToFit="0" vertical="top" wrapText="1"/>
    </xf>
    <xf borderId="10" fillId="0" fontId="5" numFmtId="49" xfId="0" applyAlignment="1" applyBorder="1" applyFont="1" applyNumberFormat="1">
      <alignment readingOrder="0" shrinkToFit="0" vertical="top" wrapText="0"/>
    </xf>
    <xf borderId="10" fillId="0" fontId="5" numFmtId="0" xfId="0" applyAlignment="1" applyBorder="1" applyFont="1">
      <alignment readingOrder="0" shrinkToFit="0" vertical="top" wrapText="0"/>
    </xf>
    <xf borderId="11" fillId="0" fontId="7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top" wrapText="0"/>
    </xf>
    <xf borderId="9" fillId="0" fontId="5" numFmtId="0" xfId="0" applyAlignment="1" applyBorder="1" applyFont="1">
      <alignment readingOrder="0" shrinkToFit="0" vertical="top" wrapText="0"/>
    </xf>
    <xf borderId="11" fillId="0" fontId="5" numFmtId="0" xfId="0" applyAlignment="1" applyBorder="1" applyFont="1">
      <alignment shrinkToFit="0" vertical="top" wrapText="0"/>
    </xf>
    <xf borderId="11" fillId="0" fontId="16" numFmtId="0" xfId="0" applyAlignment="1" applyBorder="1" applyFont="1">
      <alignment readingOrder="0" shrinkToFit="0" vertical="top" wrapText="0"/>
    </xf>
    <xf borderId="9" fillId="0" fontId="5" numFmtId="164" xfId="0" applyAlignment="1" applyBorder="1" applyFont="1" applyNumberFormat="1">
      <alignment shrinkToFit="0" vertical="top" wrapText="0"/>
    </xf>
    <xf borderId="10" fillId="0" fontId="5" numFmtId="49" xfId="0" applyAlignment="1" applyBorder="1" applyFont="1" applyNumberFormat="1">
      <alignment shrinkToFit="0" vertical="top" wrapText="0"/>
    </xf>
    <xf borderId="10" fillId="0" fontId="5" numFmtId="0" xfId="0" applyAlignment="1" applyBorder="1" applyFont="1">
      <alignment shrinkToFit="0" vertical="top" wrapText="0"/>
    </xf>
    <xf borderId="12" fillId="0" fontId="5" numFmtId="164" xfId="0" applyAlignment="1" applyBorder="1" applyFont="1" applyNumberFormat="1">
      <alignment shrinkToFit="0" vertical="top" wrapText="0"/>
    </xf>
    <xf borderId="13" fillId="0" fontId="5" numFmtId="49" xfId="0" applyAlignment="1" applyBorder="1" applyFont="1" applyNumberFormat="1">
      <alignment shrinkToFit="0" vertical="top" wrapText="0"/>
    </xf>
    <xf borderId="13" fillId="0" fontId="5" numFmtId="0" xfId="0" applyAlignment="1" applyBorder="1" applyFont="1">
      <alignment shrinkToFit="0" vertical="top" wrapText="0"/>
    </xf>
    <xf borderId="14" fillId="0" fontId="5" numFmtId="0" xfId="0" applyAlignment="1" applyBorder="1" applyFont="1">
      <alignment shrinkToFit="0" vertical="top" wrapText="0"/>
    </xf>
    <xf borderId="15" fillId="3" fontId="11" numFmtId="0" xfId="0" applyAlignment="1" applyBorder="1" applyFont="1">
      <alignment horizontal="center" shrinkToFit="0" vertical="bottom" wrapText="0"/>
    </xf>
    <xf borderId="16" fillId="0" fontId="12" numFmtId="0" xfId="0" applyAlignment="1" applyBorder="1" applyFont="1">
      <alignment vertical="center"/>
    </xf>
    <xf borderId="17" fillId="0" fontId="12" numFmtId="0" xfId="0" applyAlignment="1" applyBorder="1" applyFont="1">
      <alignment vertical="center"/>
    </xf>
    <xf borderId="1" fillId="3" fontId="9" numFmtId="0" xfId="0" applyAlignment="1" applyBorder="1" applyFont="1">
      <alignment shrinkToFit="0" vertical="bottom" wrapText="0"/>
    </xf>
    <xf borderId="1" fillId="3" fontId="5" numFmtId="164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horizontal="left" shrinkToFit="0" vertical="center" wrapText="0"/>
    </xf>
    <xf borderId="2" fillId="3" fontId="7" numFmtId="0" xfId="0" applyAlignment="1" applyBorder="1" applyFont="1">
      <alignment horizontal="left" shrinkToFit="0" vertical="bottom" wrapText="0"/>
    </xf>
    <xf borderId="2" fillId="3" fontId="9" numFmtId="0" xfId="0" applyAlignment="1" applyBorder="1" applyFont="1">
      <alignment horizontal="left" shrinkToFit="0" vertical="bottom" wrapText="0"/>
    </xf>
    <xf borderId="2" fillId="3" fontId="9" numFmtId="0" xfId="0" applyAlignment="1" applyBorder="1" applyFont="1">
      <alignment horizontal="center" readingOrder="0" shrinkToFit="0" vertical="bottom" wrapText="0"/>
    </xf>
    <xf borderId="2" fillId="3" fontId="7" numFmtId="0" xfId="0" applyAlignment="1" applyBorder="1" applyFont="1">
      <alignment horizontal="center" readingOrder="0" shrinkToFit="0" vertical="top" wrapText="0"/>
    </xf>
    <xf borderId="2" fillId="3" fontId="7" numFmtId="0" xfId="0" applyAlignment="1" applyBorder="1" applyFont="1">
      <alignment shrinkToFit="0" vertical="top" wrapText="0"/>
    </xf>
    <xf borderId="1" fillId="3" fontId="13" numFmtId="0" xfId="0" applyAlignment="1" applyBorder="1" applyFont="1">
      <alignment shrinkToFit="0" vertical="bottom" wrapText="0"/>
    </xf>
    <xf borderId="1" fillId="3" fontId="14" numFmtId="0" xfId="0" applyAlignment="1" applyBorder="1" applyFont="1">
      <alignment shrinkToFit="0" vertical="bottom" wrapText="0"/>
    </xf>
    <xf borderId="18" fillId="3" fontId="5" numFmtId="0" xfId="0" applyAlignment="1" applyBorder="1" applyFont="1">
      <alignment shrinkToFit="0" vertical="bottom" wrapText="0"/>
    </xf>
    <xf borderId="19" fillId="4" fontId="15" numFmtId="0" xfId="0" applyAlignment="1" applyBorder="1" applyFont="1">
      <alignment horizontal="center" shrinkToFit="0" vertical="bottom" wrapText="0"/>
    </xf>
    <xf borderId="20" fillId="4" fontId="15" numFmtId="0" xfId="0" applyAlignment="1" applyBorder="1" applyFont="1">
      <alignment horizontal="center" shrinkToFit="0" vertical="bottom" wrapText="0"/>
    </xf>
    <xf borderId="20" fillId="4" fontId="15" numFmtId="0" xfId="0" applyAlignment="1" applyBorder="1" applyFont="1">
      <alignment horizontal="center" shrinkToFit="0" vertical="bottom" wrapText="1"/>
    </xf>
    <xf borderId="21" fillId="4" fontId="15" numFmtId="0" xfId="0" applyAlignment="1" applyBorder="1" applyFont="1">
      <alignment horizontal="center" shrinkToFit="0" vertical="bottom" wrapText="0"/>
    </xf>
    <xf borderId="22" fillId="4" fontId="15" numFmtId="0" xfId="0" applyAlignment="1" applyBorder="1" applyFont="1">
      <alignment horizontal="center" shrinkToFit="0" vertical="bottom" wrapText="1"/>
    </xf>
    <xf borderId="17" fillId="3" fontId="5" numFmtId="0" xfId="0" applyAlignment="1" applyBorder="1" applyFont="1">
      <alignment shrinkToFit="0" vertical="bottom" wrapText="0"/>
    </xf>
    <xf borderId="23" fillId="3" fontId="5" numFmtId="0" xfId="0" applyAlignment="1" applyBorder="1" applyFont="1">
      <alignment horizontal="center" shrinkToFit="0" vertical="bottom" wrapText="0"/>
    </xf>
    <xf borderId="24" fillId="3" fontId="17" numFmtId="0" xfId="0" applyAlignment="1" applyBorder="1" applyFont="1">
      <alignment horizontal="left" readingOrder="0" shrinkToFit="0" vertical="center" wrapText="0"/>
    </xf>
    <xf borderId="24" fillId="3" fontId="5" numFmtId="0" xfId="0" applyAlignment="1" applyBorder="1" applyFont="1">
      <alignment horizontal="center" shrinkToFit="0" vertical="bottom" wrapText="0"/>
    </xf>
    <xf borderId="25" fillId="3" fontId="5" numFmtId="0" xfId="0" applyAlignment="1" applyBorder="1" applyFont="1">
      <alignment horizontal="center" shrinkToFit="0" vertical="bottom" wrapText="0"/>
    </xf>
    <xf borderId="26" fillId="3" fontId="5" numFmtId="0" xfId="0" applyAlignment="1" applyBorder="1" applyFont="1">
      <alignment horizontal="center" shrinkToFit="0" vertical="bottom" wrapText="0"/>
    </xf>
    <xf borderId="10" fillId="3" fontId="18" numFmtId="0" xfId="0" applyAlignment="1" applyBorder="1" applyFont="1">
      <alignment horizontal="left" readingOrder="0" shrinkToFit="0" vertical="center" wrapText="0"/>
    </xf>
    <xf borderId="10" fillId="3" fontId="5" numFmtId="0" xfId="0" applyAlignment="1" applyBorder="1" applyFont="1">
      <alignment horizontal="center" shrinkToFit="0" vertical="bottom" wrapText="0"/>
    </xf>
    <xf borderId="11" fillId="3" fontId="5" numFmtId="0" xfId="0" applyAlignment="1" applyBorder="1" applyFont="1">
      <alignment horizontal="center" shrinkToFit="0" vertical="bottom" wrapText="0"/>
    </xf>
    <xf borderId="26" fillId="3" fontId="5" numFmtId="0" xfId="0" applyAlignment="1" applyBorder="1" applyFont="1">
      <alignment horizontal="center" readingOrder="0" shrinkToFit="0" vertical="bottom" wrapText="0"/>
    </xf>
    <xf borderId="27" fillId="3" fontId="5" numFmtId="0" xfId="0" applyAlignment="1" applyBorder="1" applyFont="1">
      <alignment horizontal="center" readingOrder="0" shrinkToFit="0" vertical="bottom" wrapText="0"/>
    </xf>
    <xf borderId="28" fillId="3" fontId="19" numFmtId="0" xfId="0" applyAlignment="1" applyBorder="1" applyFont="1">
      <alignment horizontal="left" readingOrder="0" shrinkToFit="0" vertical="center" wrapText="0"/>
    </xf>
    <xf borderId="28" fillId="3" fontId="5" numFmtId="0" xfId="0" applyAlignment="1" applyBorder="1" applyFont="1">
      <alignment horizontal="center" shrinkToFit="0" vertical="bottom" wrapText="0"/>
    </xf>
    <xf borderId="29" fillId="3" fontId="5" numFmtId="0" xfId="0" applyAlignment="1" applyBorder="1" applyFont="1">
      <alignment horizontal="center" shrinkToFit="0" vertical="bottom" wrapText="0"/>
    </xf>
    <xf borderId="30" fillId="4" fontId="20" numFmtId="0" xfId="0" applyAlignment="1" applyBorder="1" applyFont="1">
      <alignment horizontal="center" shrinkToFit="0" vertical="bottom" wrapText="0"/>
    </xf>
    <xf borderId="31" fillId="4" fontId="21" numFmtId="0" xfId="0" applyAlignment="1" applyBorder="1" applyFont="1">
      <alignment shrinkToFit="0" vertical="center" wrapText="0"/>
    </xf>
    <xf borderId="32" fillId="4" fontId="20" numFmtId="0" xfId="0" applyAlignment="1" applyBorder="1" applyFont="1">
      <alignment horizontal="center" shrinkToFit="0" vertical="bottom" wrapText="0"/>
    </xf>
    <xf borderId="33" fillId="4" fontId="20" numFmtId="0" xfId="0" applyAlignment="1" applyBorder="1" applyFont="1">
      <alignment horizontal="center" shrinkToFit="0" vertical="bottom" wrapText="0"/>
    </xf>
    <xf borderId="34" fillId="3" fontId="5" numFmtId="0" xfId="0" applyAlignment="1" applyBorder="1" applyFont="1">
      <alignment horizontal="center" shrinkToFit="0" vertical="bottom" wrapText="0"/>
    </xf>
    <xf borderId="34" fillId="3" fontId="5" numFmtId="0" xfId="0" applyAlignment="1" applyBorder="1" applyFont="1">
      <alignment shrinkToFit="0" vertical="bottom" wrapText="0"/>
    </xf>
    <xf borderId="34" fillId="3" fontId="5" numFmtId="10" xfId="0" applyAlignment="1" applyBorder="1" applyFont="1" applyNumberFormat="1">
      <alignment horizontal="center" shrinkToFit="0" vertical="bottom" wrapText="0"/>
    </xf>
    <xf borderId="34" fillId="3" fontId="5" numFmtId="9" xfId="0" applyAlignment="1" applyBorder="1" applyFont="1" applyNumberFormat="1">
      <alignment horizontal="center" shrinkToFit="0" vertical="bottom" wrapText="0"/>
    </xf>
    <xf borderId="1" fillId="3" fontId="9" numFmtId="0" xfId="0" applyAlignment="1" applyBorder="1" applyFont="1">
      <alignment horizontal="left" shrinkToFit="0" vertical="bottom" wrapText="0"/>
    </xf>
    <xf borderId="1" fillId="3" fontId="9" numFmtId="2" xfId="0" applyAlignment="1" applyBorder="1" applyFont="1" applyNumberFormat="1">
      <alignment horizontal="right" shrinkToFit="0" vertical="bottom" wrapText="1"/>
    </xf>
    <xf borderId="1" fillId="3" fontId="22" numFmtId="0" xfId="0" applyAlignment="1" applyBorder="1" applyFont="1">
      <alignment horizontal="center" shrinkToFit="0" vertical="bottom" wrapText="1"/>
    </xf>
    <xf borderId="1" fillId="3" fontId="5" numFmtId="1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1" fillId="3" fontId="5" numFmtId="0" xfId="0" applyAlignment="1" applyBorder="1" applyFont="1">
      <alignment horizontal="left" shrinkToFit="0" vertical="bottom" wrapText="1"/>
    </xf>
    <xf borderId="1" fillId="3" fontId="11" numFmtId="0" xfId="0" applyAlignment="1" applyBorder="1" applyFont="1">
      <alignment horizontal="left" shrinkToFit="0" vertical="bottom" wrapText="0"/>
    </xf>
    <xf borderId="1" fillId="3" fontId="23" numFmtId="0" xfId="0" applyAlignment="1" applyBorder="1" applyFont="1">
      <alignment horizontal="left" shrinkToFit="0" vertical="bottom" wrapText="0"/>
    </xf>
    <xf borderId="1" fillId="3" fontId="24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bottom" wrapText="0"/>
    </xf>
    <xf borderId="35" fillId="0" fontId="12" numFmtId="0" xfId="0" applyAlignment="1" applyBorder="1" applyFont="1">
      <alignment vertical="center"/>
    </xf>
    <xf borderId="2" fillId="3" fontId="7" numFmtId="0" xfId="0" applyAlignment="1" applyBorder="1" applyFont="1">
      <alignment horizontal="left" readingOrder="0" shrinkToFit="0" vertical="bottom" wrapText="0"/>
    </xf>
    <xf borderId="2" fillId="3" fontId="9" numFmtId="1" xfId="0" applyAlignment="1" applyBorder="1" applyFont="1" applyNumberFormat="1">
      <alignment horizontal="left" shrinkToFit="0" vertical="bottom" wrapText="0"/>
    </xf>
    <xf borderId="36" fillId="3" fontId="7" numFmtId="0" xfId="0" applyAlignment="1" applyBorder="1" applyFont="1">
      <alignment horizontal="left" readingOrder="0" shrinkToFit="0" vertical="bottom" wrapText="0"/>
    </xf>
    <xf borderId="37" fillId="3" fontId="7" numFmtId="0" xfId="0" applyAlignment="1" applyBorder="1" applyFont="1">
      <alignment horizontal="left" shrinkToFit="0" vertical="bottom" wrapText="0"/>
    </xf>
    <xf borderId="38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shrinkToFit="0" vertical="bottom" wrapText="0"/>
    </xf>
    <xf borderId="1" fillId="3" fontId="5" numFmtId="1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shrinkToFit="0" vertical="center" wrapText="0"/>
    </xf>
    <xf borderId="6" fillId="5" fontId="15" numFmtId="1" xfId="0" applyAlignment="1" applyBorder="1" applyFill="1" applyFont="1" applyNumberFormat="1">
      <alignment horizontal="center" shrinkToFit="0" vertical="center" wrapText="0"/>
    </xf>
    <xf borderId="39" fillId="5" fontId="15" numFmtId="1" xfId="0" applyAlignment="1" applyBorder="1" applyFont="1" applyNumberFormat="1">
      <alignment horizontal="center" shrinkToFit="0" vertical="center" wrapText="1"/>
    </xf>
    <xf borderId="39" fillId="5" fontId="15" numFmtId="1" xfId="0" applyAlignment="1" applyBorder="1" applyFont="1" applyNumberForma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1"/>
    </xf>
    <xf borderId="40" fillId="5" fontId="15" numFmtId="0" xfId="0" applyAlignment="1" applyBorder="1" applyFont="1">
      <alignment horizontal="center" shrinkToFit="0" vertical="center" wrapText="0"/>
    </xf>
    <xf borderId="8" fillId="5" fontId="15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bottom" wrapText="0"/>
    </xf>
    <xf borderId="9" fillId="3" fontId="5" numFmtId="1" xfId="0" applyAlignment="1" applyBorder="1" applyFont="1" applyNumberFormat="1">
      <alignment horizontal="center" shrinkToFit="0" vertical="center" wrapText="0"/>
    </xf>
    <xf borderId="41" fillId="3" fontId="5" numFmtId="1" xfId="0" applyAlignment="1" applyBorder="1" applyFont="1" applyNumberFormat="1">
      <alignment shrinkToFit="0" vertical="center" wrapText="0"/>
    </xf>
    <xf borderId="41" fillId="3" fontId="5" numFmtId="1" xfId="0" applyAlignment="1" applyBorder="1" applyFont="1" applyNumberFormat="1">
      <alignment readingOrder="0" shrinkToFit="0" vertical="center" wrapText="0"/>
    </xf>
    <xf borderId="10" fillId="3" fontId="5" numFmtId="49" xfId="0" applyAlignment="1" applyBorder="1" applyFont="1" applyNumberFormat="1">
      <alignment horizontal="left" readingOrder="0" shrinkToFit="0" vertical="center" wrapText="0"/>
    </xf>
    <xf borderId="10" fillId="3" fontId="5" numFmtId="49" xfId="0" applyAlignment="1" applyBorder="1" applyFont="1" applyNumberFormat="1">
      <alignment horizontal="left" readingOrder="0" shrinkToFit="0" vertical="center" wrapText="1"/>
    </xf>
    <xf borderId="10" fillId="3" fontId="25" numFmtId="0" xfId="0" applyAlignment="1" applyBorder="1" applyFont="1">
      <alignment horizontal="left" shrinkToFit="0" vertical="center" wrapText="0"/>
    </xf>
    <xf borderId="11" fillId="3" fontId="5" numFmtId="0" xfId="0" applyAlignment="1" applyBorder="1" applyFont="1">
      <alignment horizontal="left" shrinkToFit="0" vertical="center" wrapText="0"/>
    </xf>
    <xf borderId="9" fillId="3" fontId="5" numFmtId="1" xfId="0" applyAlignment="1" applyBorder="1" applyFont="1" applyNumberFormat="1">
      <alignment horizontal="center" readingOrder="0" shrinkToFit="0" vertical="center" wrapText="0"/>
    </xf>
    <xf borderId="10" fillId="3" fontId="5" numFmtId="0" xfId="0" applyAlignment="1" applyBorder="1" applyFont="1">
      <alignment horizontal="left" shrinkToFit="0" vertical="center" wrapText="0"/>
    </xf>
    <xf borderId="10" fillId="3" fontId="5" numFmtId="49" xfId="0" applyAlignment="1" applyBorder="1" applyFont="1" applyNumberFormat="1">
      <alignment horizontal="left" shrinkToFit="0" vertical="center" wrapText="0"/>
    </xf>
    <xf borderId="10" fillId="3" fontId="5" numFmtId="49" xfId="0" applyAlignment="1" applyBorder="1" applyFont="1" applyNumberFormat="1">
      <alignment horizontal="left" shrinkToFit="0" vertical="center" wrapText="1"/>
    </xf>
    <xf borderId="12" fillId="3" fontId="5" numFmtId="1" xfId="0" applyAlignment="1" applyBorder="1" applyFont="1" applyNumberFormat="1">
      <alignment horizontal="center" shrinkToFit="0" vertical="center" wrapText="0"/>
    </xf>
    <xf borderId="42" fillId="3" fontId="5" numFmtId="1" xfId="0" applyAlignment="1" applyBorder="1" applyFont="1" applyNumberFormat="1">
      <alignment shrinkToFit="0" vertical="center" wrapText="0"/>
    </xf>
    <xf borderId="13" fillId="3" fontId="5" numFmtId="49" xfId="0" applyAlignment="1" applyBorder="1" applyFont="1" applyNumberFormat="1">
      <alignment horizontal="left" shrinkToFit="0" vertical="center" wrapText="0"/>
    </xf>
    <xf borderId="13" fillId="3" fontId="5" numFmtId="49" xfId="0" applyAlignment="1" applyBorder="1" applyFont="1" applyNumberFormat="1">
      <alignment horizontal="left" shrinkToFit="0" vertical="center" wrapText="1"/>
    </xf>
    <xf borderId="13" fillId="3" fontId="5" numFmtId="0" xfId="0" applyAlignment="1" applyBorder="1" applyFont="1">
      <alignment horizontal="left" shrinkToFit="0" vertical="center" wrapText="0"/>
    </xf>
    <xf borderId="14" fillId="3" fontId="5" numFmtId="0" xfId="0" applyAlignment="1" applyBorder="1" applyFont="1">
      <alignment horizontal="left" shrinkToFit="0" vertical="center" wrapText="0"/>
    </xf>
    <xf borderId="43" fillId="0" fontId="26" numFmtId="0" xfId="0" applyAlignment="1" applyBorder="1" applyFont="1">
      <alignment shrinkToFit="0" vertical="bottom" wrapText="0"/>
    </xf>
    <xf borderId="43" fillId="0" fontId="27" numFmtId="0" xfId="0" applyAlignment="1" applyBorder="1" applyFont="1">
      <alignment horizontal="left" shrinkToFit="0" vertical="bottom" wrapText="0"/>
    </xf>
    <xf borderId="0" fillId="0" fontId="26" numFmtId="0" xfId="0" applyAlignment="1" applyFont="1">
      <alignment shrinkToFit="0" vertical="bottom" wrapText="0"/>
    </xf>
    <xf borderId="0" fillId="0" fontId="26" numFmtId="0" xfId="0" applyAlignment="1" applyFont="1">
      <alignment horizontal="right" shrinkToFit="0" vertical="bottom" wrapText="0"/>
    </xf>
    <xf borderId="44" fillId="3" fontId="27" numFmtId="0" xfId="0" applyAlignment="1" applyBorder="1" applyFont="1">
      <alignment horizontal="left" shrinkToFit="0" vertical="bottom" wrapText="1"/>
    </xf>
    <xf borderId="45" fillId="0" fontId="12" numFmtId="0" xfId="0" applyAlignment="1" applyBorder="1" applyFont="1">
      <alignment vertical="center"/>
    </xf>
    <xf borderId="46" fillId="3" fontId="28" numFmtId="49" xfId="0" applyAlignment="1" applyBorder="1" applyFont="1" applyNumberFormat="1">
      <alignment horizontal="left" shrinkToFit="0" vertical="bottom" wrapText="1"/>
    </xf>
    <xf borderId="47" fillId="0" fontId="12" numFmtId="0" xfId="0" applyAlignment="1" applyBorder="1" applyFont="1">
      <alignment vertical="center"/>
    </xf>
    <xf borderId="48" fillId="0" fontId="12" numFmtId="0" xfId="0" applyAlignment="1" applyBorder="1" applyFont="1">
      <alignment vertical="center"/>
    </xf>
    <xf borderId="49" fillId="3" fontId="27" numFmtId="0" xfId="0" applyAlignment="1" applyBorder="1" applyFont="1">
      <alignment horizontal="left" shrinkToFit="0" vertical="bottom" wrapText="1"/>
    </xf>
    <xf borderId="50" fillId="0" fontId="12" numFmtId="0" xfId="0" applyAlignment="1" applyBorder="1" applyFont="1">
      <alignment vertical="center"/>
    </xf>
    <xf borderId="51" fillId="0" fontId="12" numFmtId="0" xfId="0" applyAlignment="1" applyBorder="1" applyFont="1">
      <alignment vertical="center"/>
    </xf>
    <xf borderId="46" fillId="3" fontId="26" numFmtId="49" xfId="0" applyAlignment="1" applyBorder="1" applyFont="1" applyNumberFormat="1">
      <alignment horizontal="center" shrinkToFit="0" vertical="bottom" wrapText="1"/>
    </xf>
    <xf borderId="52" fillId="0" fontId="12" numFmtId="0" xfId="0" applyAlignment="1" applyBorder="1" applyFont="1">
      <alignment vertical="center"/>
    </xf>
    <xf borderId="0" fillId="0" fontId="26" numFmtId="49" xfId="0" applyAlignment="1" applyFont="1" applyNumberFormat="1">
      <alignment shrinkToFit="0" vertical="bottom" wrapText="0"/>
    </xf>
    <xf borderId="53" fillId="3" fontId="27" numFmtId="0" xfId="0" applyAlignment="1" applyBorder="1" applyFont="1">
      <alignment horizontal="left" shrinkToFit="0" vertical="bottom" wrapText="1"/>
    </xf>
    <xf borderId="54" fillId="3" fontId="28" numFmtId="0" xfId="0" applyAlignment="1" applyBorder="1" applyFont="1">
      <alignment horizontal="left" readingOrder="0" shrinkToFit="0" vertical="bottom" wrapText="1"/>
    </xf>
    <xf borderId="55" fillId="0" fontId="12" numFmtId="0" xfId="0" applyAlignment="1" applyBorder="1" applyFont="1">
      <alignment vertical="center"/>
    </xf>
    <xf borderId="56" fillId="0" fontId="12" numFmtId="0" xfId="0" applyAlignment="1" applyBorder="1" applyFont="1">
      <alignment vertical="center"/>
    </xf>
    <xf borderId="2" fillId="3" fontId="27" numFmtId="0" xfId="0" applyAlignment="1" applyBorder="1" applyFont="1">
      <alignment horizontal="left" shrinkToFit="0" vertical="bottom" wrapText="1"/>
    </xf>
    <xf borderId="57" fillId="3" fontId="28" numFmtId="0" xfId="0" applyAlignment="1" applyBorder="1" applyFont="1">
      <alignment horizontal="left" readingOrder="0" shrinkToFit="0" vertical="bottom" wrapText="1"/>
    </xf>
    <xf borderId="58" fillId="0" fontId="12" numFmtId="0" xfId="0" applyAlignment="1" applyBorder="1" applyFont="1">
      <alignment vertical="center"/>
    </xf>
    <xf borderId="59" fillId="3" fontId="28" numFmtId="0" xfId="0" applyAlignment="1" applyBorder="1" applyFont="1">
      <alignment shrinkToFit="0" vertical="bottom" wrapText="1"/>
    </xf>
    <xf borderId="60" fillId="3" fontId="28" numFmtId="0" xfId="0" applyAlignment="1" applyBorder="1" applyFont="1">
      <alignment shrinkToFit="0" vertical="bottom" wrapText="1"/>
    </xf>
    <xf borderId="2" fillId="3" fontId="28" numFmtId="0" xfId="0" applyAlignment="1" applyBorder="1" applyFont="1">
      <alignment horizontal="center" shrinkToFit="0" vertical="bottom" wrapText="1"/>
    </xf>
    <xf borderId="37" fillId="3" fontId="28" numFmtId="0" xfId="0" applyAlignment="1" applyBorder="1" applyFont="1">
      <alignment horizontal="left" shrinkToFit="0" vertical="bottom" wrapText="1"/>
    </xf>
    <xf borderId="2" fillId="3" fontId="26" numFmtId="0" xfId="0" applyAlignment="1" applyBorder="1" applyFont="1">
      <alignment horizontal="center" shrinkToFit="0" vertical="bottom" wrapText="1"/>
    </xf>
    <xf borderId="61" fillId="0" fontId="12" numFmtId="0" xfId="0" applyAlignment="1" applyBorder="1" applyFont="1">
      <alignment vertical="center"/>
    </xf>
    <xf borderId="2" fillId="3" fontId="28" numFmtId="0" xfId="0" applyAlignment="1" applyBorder="1" applyFont="1">
      <alignment horizontal="left" readingOrder="0" shrinkToFit="0" vertical="bottom" wrapText="1"/>
    </xf>
    <xf borderId="53" fillId="3" fontId="27" numFmtId="0" xfId="0" applyAlignment="1" applyBorder="1" applyFont="1">
      <alignment horizontal="center" shrinkToFit="0" vertical="center" wrapText="0"/>
    </xf>
    <xf borderId="2" fillId="3" fontId="27" numFmtId="0" xfId="0" applyAlignment="1" applyBorder="1" applyFont="1">
      <alignment horizontal="center" shrinkToFit="0" vertical="center" wrapText="1"/>
    </xf>
    <xf borderId="62" fillId="3" fontId="27" numFmtId="0" xfId="0" applyAlignment="1" applyBorder="1" applyFont="1">
      <alignment horizontal="center" shrinkToFit="0" vertical="center" wrapText="1"/>
    </xf>
    <xf borderId="63" fillId="3" fontId="26" numFmtId="0" xfId="0" applyAlignment="1" applyBorder="1" applyFont="1">
      <alignment horizontal="center" shrinkToFit="0" vertical="center" wrapText="0"/>
    </xf>
    <xf borderId="64" fillId="0" fontId="12" numFmtId="0" xfId="0" applyAlignment="1" applyBorder="1" applyFont="1">
      <alignment vertical="center"/>
    </xf>
    <xf borderId="65" fillId="3" fontId="26" numFmtId="0" xfId="0" applyAlignment="1" applyBorder="1" applyFont="1">
      <alignment horizontal="center" shrinkToFit="0" vertical="center" wrapText="0"/>
    </xf>
    <xf borderId="66" fillId="0" fontId="12" numFmtId="0" xfId="0" applyAlignment="1" applyBorder="1" applyFont="1">
      <alignment vertical="center"/>
    </xf>
    <xf borderId="67" fillId="3" fontId="26" numFmtId="0" xfId="0" applyAlignment="1" applyBorder="1" applyFont="1">
      <alignment horizontal="center" shrinkToFit="0" vertical="center" wrapText="0"/>
    </xf>
    <xf borderId="68" fillId="0" fontId="12" numFmtId="0" xfId="0" applyAlignment="1" applyBorder="1" applyFont="1">
      <alignment vertical="center"/>
    </xf>
    <xf borderId="69" fillId="0" fontId="26" numFmtId="0" xfId="0" applyAlignment="1" applyBorder="1" applyFont="1">
      <alignment shrinkToFit="0" vertical="bottom" wrapText="0"/>
    </xf>
    <xf borderId="0" fillId="0" fontId="27" numFmtId="0" xfId="0" applyAlignment="1" applyFont="1">
      <alignment horizontal="left" shrinkToFit="0" vertical="bottom" wrapText="0"/>
    </xf>
    <xf borderId="70" fillId="4" fontId="15" numFmtId="164" xfId="0" applyAlignment="1" applyBorder="1" applyFont="1" applyNumberFormat="1">
      <alignment horizontal="center" shrinkToFit="0" vertical="center" wrapText="0"/>
    </xf>
    <xf borderId="71" fillId="4" fontId="29" numFmtId="0" xfId="0" applyAlignment="1" applyBorder="1" applyFont="1">
      <alignment horizontal="left" shrinkToFit="0" vertical="bottom" wrapText="0"/>
    </xf>
    <xf borderId="71" fillId="4" fontId="30" numFmtId="0" xfId="0" applyAlignment="1" applyBorder="1" applyFont="1">
      <alignment shrinkToFit="0" vertical="bottom" wrapText="0"/>
    </xf>
    <xf borderId="71" fillId="4" fontId="30" numFmtId="0" xfId="0" applyAlignment="1" applyBorder="1" applyFont="1">
      <alignment horizontal="right" shrinkToFit="0" vertical="bottom" wrapText="0"/>
    </xf>
    <xf borderId="71" fillId="4" fontId="29" numFmtId="0" xfId="0" applyAlignment="1" applyBorder="1" applyFont="1">
      <alignment shrinkToFit="0" textRotation="180" vertical="top" wrapText="0"/>
    </xf>
    <xf borderId="0" fillId="0" fontId="27" numFmtId="0" xfId="0" applyAlignment="1" applyFont="1">
      <alignment shrinkToFit="0" vertical="bottom" wrapText="0"/>
    </xf>
    <xf borderId="72" fillId="4" fontId="29" numFmtId="0" xfId="0" applyAlignment="1" applyBorder="1" applyFont="1">
      <alignment shrinkToFit="0" vertical="center" wrapText="0"/>
    </xf>
    <xf borderId="73" fillId="3" fontId="27" numFmtId="0" xfId="0" applyAlignment="1" applyBorder="1" applyFont="1">
      <alignment horizontal="left" shrinkToFit="0" vertical="top" wrapText="0"/>
    </xf>
    <xf borderId="59" fillId="3" fontId="26" numFmtId="0" xfId="0" applyAlignment="1" applyBorder="1" applyFont="1">
      <alignment horizontal="center" shrinkToFit="0" vertical="top" wrapText="0"/>
    </xf>
    <xf borderId="74" fillId="3" fontId="26" numFmtId="0" xfId="0" applyAlignment="1" applyBorder="1" applyFont="1">
      <alignment horizontal="right" shrinkToFit="0" vertical="top" wrapText="0"/>
    </xf>
    <xf borderId="1" fillId="6" fontId="28" numFmtId="0" xfId="0" applyAlignment="1" applyBorder="1" applyFill="1" applyFont="1">
      <alignment horizontal="right" shrinkToFit="0" vertical="bottom" wrapText="0"/>
    </xf>
    <xf borderId="75" fillId="0" fontId="3" numFmtId="0" xfId="0" applyAlignment="1" applyBorder="1" applyFont="1">
      <alignment horizontal="center" shrinkToFit="0" vertical="bottom" wrapText="0"/>
    </xf>
    <xf borderId="76" fillId="4" fontId="29" numFmtId="0" xfId="0" applyAlignment="1" applyBorder="1" applyFont="1">
      <alignment shrinkToFit="0" vertical="center" wrapText="0"/>
    </xf>
    <xf borderId="36" fillId="3" fontId="27" numFmtId="0" xfId="0" applyAlignment="1" applyBorder="1" applyFont="1">
      <alignment horizontal="left" shrinkToFit="0" vertical="top" wrapText="0"/>
    </xf>
    <xf borderId="37" fillId="3" fontId="26" numFmtId="0" xfId="0" applyAlignment="1" applyBorder="1" applyFont="1">
      <alignment horizontal="center" shrinkToFit="0" vertical="top" wrapText="0"/>
    </xf>
    <xf borderId="38" fillId="3" fontId="26" numFmtId="0" xfId="0" applyAlignment="1" applyBorder="1" applyFont="1">
      <alignment horizontal="right" shrinkToFit="0" vertical="top" wrapText="0"/>
    </xf>
    <xf borderId="5" fillId="0" fontId="3" numFmtId="0" xfId="0" applyAlignment="1" applyBorder="1" applyFont="1">
      <alignment horizontal="center" readingOrder="0" shrinkToFit="0" vertical="bottom" wrapText="0"/>
    </xf>
    <xf borderId="36" fillId="3" fontId="27" numFmtId="0" xfId="0" applyAlignment="1" applyBorder="1" applyFont="1">
      <alignment horizontal="left" readingOrder="0" shrinkToFit="0" vertical="top" wrapText="0"/>
    </xf>
    <xf borderId="5" fillId="0" fontId="3" numFmtId="0" xfId="0" applyAlignment="1" applyBorder="1" applyFont="1">
      <alignment horizontal="center" shrinkToFit="0" vertical="bottom" wrapText="0"/>
    </xf>
    <xf borderId="38" fillId="3" fontId="26" numFmtId="0" xfId="0" applyAlignment="1" applyBorder="1" applyFont="1">
      <alignment horizontal="right" readingOrder="0" shrinkToFit="0" vertical="top" wrapText="0"/>
    </xf>
    <xf borderId="0" fillId="0" fontId="26" numFmtId="0" xfId="0" applyAlignment="1" applyFont="1">
      <alignment shrinkToFit="0" vertical="top" wrapText="0"/>
    </xf>
    <xf borderId="1" fillId="6" fontId="26" numFmtId="0" xfId="0" applyAlignment="1" applyBorder="1" applyFont="1">
      <alignment horizontal="right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26" numFmtId="0" xfId="0" applyAlignment="1" applyFont="1">
      <alignment horizontal="right" readingOrder="0" shrinkToFit="0" vertical="bottom" wrapText="0"/>
    </xf>
    <xf borderId="72" fillId="4" fontId="29" numFmtId="0" xfId="0" applyAlignment="1" applyBorder="1" applyFont="1">
      <alignment shrinkToFit="0" vertical="top" wrapText="0"/>
    </xf>
    <xf borderId="73" fillId="3" fontId="27" numFmtId="0" xfId="0" applyAlignment="1" applyBorder="1" applyFont="1">
      <alignment shrinkToFit="0" vertical="bottom" wrapText="0"/>
    </xf>
    <xf borderId="59" fillId="3" fontId="27" numFmtId="0" xfId="0" applyAlignment="1" applyBorder="1" applyFont="1">
      <alignment shrinkToFit="0" vertical="bottom" wrapText="0"/>
    </xf>
    <xf borderId="74" fillId="3" fontId="26" numFmtId="0" xfId="0" applyAlignment="1" applyBorder="1" applyFont="1">
      <alignment horizontal="right" shrinkToFit="0" vertical="bottom" wrapText="0"/>
    </xf>
    <xf borderId="77" fillId="6" fontId="26" numFmtId="0" xfId="0" applyAlignment="1" applyBorder="1" applyFont="1">
      <alignment horizontal="left" shrinkToFit="0" vertical="bottom" wrapText="0"/>
    </xf>
    <xf borderId="76" fillId="4" fontId="29" numFmtId="0" xfId="0" applyAlignment="1" applyBorder="1" applyFont="1">
      <alignment shrinkToFit="0" vertical="top" wrapText="0"/>
    </xf>
    <xf borderId="36" fillId="3" fontId="27" numFmtId="0" xfId="0" applyAlignment="1" applyBorder="1" applyFont="1">
      <alignment shrinkToFit="0" vertical="bottom" wrapText="0"/>
    </xf>
    <xf borderId="37" fillId="3" fontId="26" numFmtId="0" xfId="0" applyAlignment="1" applyBorder="1" applyFont="1">
      <alignment shrinkToFit="0" vertical="bottom" wrapText="0"/>
    </xf>
    <xf borderId="38" fillId="3" fontId="26" numFmtId="0" xfId="0" applyAlignment="1" applyBorder="1" applyFont="1">
      <alignment horizontal="right" shrinkToFit="0" vertical="bottom" wrapText="0"/>
    </xf>
    <xf borderId="5" fillId="6" fontId="26" numFmtId="0" xfId="0" applyAlignment="1" applyBorder="1" applyFont="1">
      <alignment horizontal="left" shrinkToFit="0" vertical="bottom" wrapText="0"/>
    </xf>
    <xf borderId="37" fillId="3" fontId="6" numFmtId="0" xfId="0" applyAlignment="1" applyBorder="1" applyFont="1">
      <alignment shrinkToFit="0" vertical="bottom" wrapText="0"/>
    </xf>
    <xf borderId="5" fillId="6" fontId="26" numFmtId="0" xfId="0" applyAlignment="1" applyBorder="1" applyFont="1">
      <alignment shrinkToFit="0" vertical="bottom" wrapText="0"/>
    </xf>
    <xf borderId="38" fillId="3" fontId="26" numFmtId="0" xfId="0" applyAlignment="1" applyBorder="1" applyFont="1">
      <alignment horizontal="right" readingOrder="0" shrinkToFit="0" vertical="bottom" wrapText="0"/>
    </xf>
    <xf borderId="78" fillId="3" fontId="27" numFmtId="0" xfId="0" applyAlignment="1" applyBorder="1" applyFont="1">
      <alignment shrinkToFit="0" vertical="bottom" wrapText="0"/>
    </xf>
    <xf borderId="79" fillId="3" fontId="6" numFmtId="0" xfId="0" applyAlignment="1" applyBorder="1" applyFont="1">
      <alignment shrinkToFit="0" vertical="bottom" wrapText="0"/>
    </xf>
    <xf borderId="80" fillId="3" fontId="26" numFmtId="0" xfId="0" applyAlignment="1" applyBorder="1" applyFont="1">
      <alignment horizontal="right" readingOrder="0" shrinkToFit="0" vertical="bottom" wrapText="0"/>
    </xf>
    <xf borderId="81" fillId="6" fontId="26" numFmtId="0" xfId="0" applyAlignment="1" applyBorder="1" applyFont="1">
      <alignment shrinkToFit="0" vertical="bottom" wrapText="0"/>
    </xf>
    <xf borderId="81" fillId="0" fontId="3" numFmtId="0" xfId="0" applyAlignment="1" applyBorder="1" applyFont="1">
      <alignment horizontal="center" readingOrder="0" shrinkToFit="0" vertical="bottom" wrapText="0"/>
    </xf>
    <xf borderId="81" fillId="0" fontId="3" numFmtId="0" xfId="0" applyAlignment="1" applyBorder="1" applyFont="1">
      <alignment horizontal="center" shrinkToFit="0" vertical="bottom" wrapText="0"/>
    </xf>
    <xf borderId="82" fillId="0" fontId="26" numFmtId="0" xfId="0" applyAlignment="1" applyBorder="1" applyFont="1">
      <alignment horizontal="left" shrinkToFit="0" vertical="bottom" wrapText="0"/>
    </xf>
    <xf borderId="83" fillId="0" fontId="12" numFmtId="0" xfId="0" applyAlignment="1" applyBorder="1" applyFont="1">
      <alignment vertical="center"/>
    </xf>
    <xf borderId="84" fillId="0" fontId="12" numFmtId="0" xfId="0" applyAlignment="1" applyBorder="1" applyFont="1">
      <alignment vertical="center"/>
    </xf>
    <xf borderId="85" fillId="0" fontId="26" numFmtId="0" xfId="0" applyAlignment="1" applyBorder="1" applyFont="1">
      <alignment horizontal="left" shrinkToFit="0" vertical="bottom" wrapText="0"/>
    </xf>
    <xf borderId="85" fillId="0" fontId="26" numFmtId="0" xfId="0" applyAlignment="1" applyBorder="1" applyFont="1">
      <alignment horizontal="center" readingOrder="0" shrinkToFit="0" vertical="bottom" wrapText="0"/>
    </xf>
    <xf borderId="85" fillId="0" fontId="26" numFmtId="0" xfId="0" applyAlignment="1" applyBorder="1" applyFont="1">
      <alignment horizontal="center" shrinkToFit="0" vertical="bottom" wrapText="0"/>
    </xf>
    <xf borderId="2" fillId="0" fontId="26" numFmtId="0" xfId="0" applyAlignment="1" applyBorder="1" applyFont="1">
      <alignment horizontal="left" shrinkToFit="0" vertical="bottom" wrapText="0"/>
    </xf>
    <xf borderId="5" fillId="0" fontId="31" numFmtId="0" xfId="0" applyAlignment="1" applyBorder="1" applyFont="1">
      <alignment horizontal="left" shrinkToFit="0" vertical="bottom" wrapText="0"/>
    </xf>
    <xf borderId="5" fillId="0" fontId="26" numFmtId="0" xfId="0" applyAlignment="1" applyBorder="1" applyFont="1">
      <alignment horizontal="center" shrinkToFit="0" vertical="bottom" wrapText="0"/>
    </xf>
    <xf borderId="5" fillId="0" fontId="26" numFmtId="0" xfId="0" applyAlignment="1" applyBorder="1" applyFont="1">
      <alignment horizontal="center" readingOrder="0" shrinkToFit="0" vertical="bottom" wrapText="0"/>
    </xf>
    <xf borderId="2" fillId="0" fontId="26" numFmtId="0" xfId="0" applyAlignment="1" applyBorder="1" applyFont="1">
      <alignment horizontal="left" shrinkToFit="0" vertical="top" wrapText="0"/>
    </xf>
    <xf borderId="5" fillId="0" fontId="26" numFmtId="0" xfId="0" applyAlignment="1" applyBorder="1" applyFont="1">
      <alignment shrinkToFit="0" vertical="bottom" wrapText="0"/>
    </xf>
    <xf borderId="5" fillId="0" fontId="26" numFmtId="165" xfId="0" applyAlignment="1" applyBorder="1" applyFont="1" applyNumberFormat="1">
      <alignment readingOrder="0" shrinkToFit="0" textRotation="255" vertical="top" wrapText="0"/>
    </xf>
    <xf borderId="86" fillId="4" fontId="29" numFmtId="0" xfId="0" applyAlignment="1" applyBorder="1" applyFont="1">
      <alignment shrinkToFit="0" vertical="top" wrapText="0"/>
    </xf>
    <xf borderId="87" fillId="0" fontId="26" numFmtId="0" xfId="0" applyAlignment="1" applyBorder="1" applyFont="1">
      <alignment horizontal="left" shrinkToFit="0" vertical="top" wrapText="0"/>
    </xf>
    <xf borderId="88" fillId="0" fontId="12" numFmtId="0" xfId="0" applyAlignment="1" applyBorder="1" applyFont="1">
      <alignment vertical="center"/>
    </xf>
    <xf borderId="89" fillId="0" fontId="12" numFmtId="0" xfId="0" applyAlignment="1" applyBorder="1" applyFont="1">
      <alignment vertical="center"/>
    </xf>
    <xf borderId="90" fillId="0" fontId="26" numFmtId="0" xfId="0" applyAlignment="1" applyBorder="1" applyFont="1">
      <alignment shrinkToFit="0" vertical="bottom" wrapText="0"/>
    </xf>
    <xf borderId="90" fillId="0" fontId="26" numFmtId="0" xfId="0" applyAlignment="1" applyBorder="1" applyFont="1">
      <alignment shrinkToFit="0" textRotation="255" vertical="bottom" wrapText="0"/>
    </xf>
    <xf borderId="0" fillId="0" fontId="29" numFmtId="0" xfId="0" applyAlignment="1" applyFont="1">
      <alignment shrinkToFit="0" vertical="top" wrapText="0"/>
    </xf>
    <xf borderId="71" fillId="4" fontId="29" numFmtId="0" xfId="0" applyAlignment="1" applyBorder="1" applyFont="1">
      <alignment readingOrder="0" shrinkToFit="0" textRotation="180" vertical="top" wrapText="0"/>
    </xf>
    <xf borderId="91" fillId="4" fontId="29" numFmtId="0" xfId="0" applyAlignment="1" applyBorder="1" applyFont="1">
      <alignment shrinkToFit="0" vertical="top" wrapText="0"/>
    </xf>
    <xf borderId="3" fillId="3" fontId="26" numFmtId="0" xfId="0" applyAlignment="1" applyBorder="1" applyFont="1">
      <alignment horizontal="right" readingOrder="0" shrinkToFit="0" vertical="bottom" wrapText="0"/>
    </xf>
    <xf borderId="92" fillId="6" fontId="26" numFmtId="0" xfId="0" applyAlignment="1" applyBorder="1" applyFont="1">
      <alignment shrinkToFit="0" vertical="bottom" wrapText="0"/>
    </xf>
    <xf borderId="93" fillId="4" fontId="29" numFmtId="0" xfId="0" applyAlignment="1" applyBorder="1" applyFont="1">
      <alignment shrinkToFit="0" vertical="top" wrapText="0"/>
    </xf>
    <xf borderId="94" fillId="6" fontId="26" numFmtId="0" xfId="0" applyAlignment="1" applyBorder="1" applyFont="1">
      <alignment shrinkToFit="0" vertical="bottom" wrapText="0"/>
    </xf>
    <xf borderId="95" fillId="0" fontId="3" numFmtId="0" xfId="0" applyAlignment="1" applyBorder="1" applyFont="1">
      <alignment horizontal="center" readingOrder="0" shrinkToFit="0" vertical="bottom" wrapText="0"/>
    </xf>
    <xf borderId="95" fillId="0" fontId="3" numFmtId="0" xfId="0" applyAlignment="1" applyBorder="1" applyFont="1">
      <alignment horizontal="center" shrinkToFit="0" vertical="bottom" wrapText="0"/>
    </xf>
    <xf borderId="88" fillId="3" fontId="26" numFmtId="0" xfId="0" applyAlignment="1" applyBorder="1" applyFont="1">
      <alignment horizontal="right" readingOrder="0" shrinkToFit="0" vertical="bottom" wrapText="0"/>
    </xf>
    <xf borderId="96" fillId="0" fontId="26" numFmtId="0" xfId="0" applyAlignment="1" applyBorder="1" applyFont="1">
      <alignment horizontal="left" shrinkToFit="0" vertical="bottom" wrapText="0"/>
    </xf>
    <xf borderId="97" fillId="0" fontId="12" numFmtId="0" xfId="0" applyAlignment="1" applyBorder="1" applyFont="1">
      <alignment vertical="center"/>
    </xf>
    <xf borderId="98" fillId="0" fontId="12" numFmtId="0" xfId="0" applyAlignment="1" applyBorder="1" applyFont="1">
      <alignment vertical="center"/>
    </xf>
    <xf borderId="38" fillId="3" fontId="32" numFmtId="0" xfId="0" applyAlignment="1" applyBorder="1" applyFont="1">
      <alignment horizontal="right" readingOrder="0" shrinkToFit="0" vertical="top" wrapText="0"/>
    </xf>
    <xf borderId="99" fillId="3" fontId="26" numFmtId="0" xfId="0" applyAlignment="1" applyBorder="1" applyFont="1">
      <alignment horizontal="right" readingOrder="0" shrinkToFit="0" vertical="bottom" wrapText="0"/>
    </xf>
    <xf borderId="99" fillId="0" fontId="12" numFmtId="0" xfId="0" applyAlignment="1" applyBorder="1" applyFont="1">
      <alignment vertical="center"/>
    </xf>
    <xf borderId="2" fillId="3" fontId="28" numFmtId="0" xfId="0" applyAlignment="1" applyBorder="1" applyFont="1">
      <alignment horizontal="center" readingOrder="0" shrinkToFit="0" vertical="bottom" wrapText="1"/>
    </xf>
    <xf borderId="38" fillId="3" fontId="26" numFmtId="166" xfId="0" applyAlignment="1" applyBorder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Statistics!$F$22:$H$22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Statistics!$C$22:$E$22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29</xdr:row>
      <xdr:rowOff>0</xdr:rowOff>
    </xdr:from>
    <xdr:ext cx="3714750" cy="2438400"/>
    <xdr:graphicFrame>
      <xdr:nvGraphicFramePr>
        <xdr:cNvPr descr="Chart 0" id="10774508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29</xdr:row>
      <xdr:rowOff>19050</xdr:rowOff>
    </xdr:from>
    <xdr:ext cx="4248150" cy="2409825"/>
    <xdr:graphicFrame>
      <xdr:nvGraphicFramePr>
        <xdr:cNvPr descr="Chart 1" id="82910903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uutro.example.or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6" width="10.0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7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2.0" customHeight="1">
      <c r="A6" s="8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9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9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2" t="s">
        <v>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7.75" customHeight="1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9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2" t="s">
        <v>13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3.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2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7.75" customHeight="1">
      <c r="A21" s="9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2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9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2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2.0" customHeight="1">
      <c r="A39" s="9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9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2" t="s">
        <v>37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3.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5.5"/>
    <col customWidth="1" min="4" max="4" width="8.0"/>
    <col customWidth="1" min="5" max="5" width="38.0"/>
    <col customWidth="1" min="6" max="6" width="48.13"/>
    <col customWidth="1" min="7" max="26" width="10.0"/>
  </cols>
  <sheetData>
    <row r="1" ht="12.75" customHeight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75.75" customHeight="1">
      <c r="A2" s="16"/>
      <c r="B2" s="17" t="s">
        <v>45</v>
      </c>
      <c r="C2" s="18"/>
      <c r="D2" s="18"/>
      <c r="E2" s="18"/>
      <c r="F2" s="19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1"/>
      <c r="B3" s="22"/>
      <c r="C3" s="15"/>
      <c r="D3" s="15"/>
      <c r="E3" s="23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24" t="s">
        <v>46</v>
      </c>
      <c r="B4" s="25" t="s">
        <v>47</v>
      </c>
      <c r="C4" s="18"/>
      <c r="D4" s="19"/>
      <c r="E4" s="24" t="s">
        <v>48</v>
      </c>
      <c r="F4" s="26" t="s">
        <v>49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24" t="s">
        <v>50</v>
      </c>
      <c r="B5" s="25" t="s">
        <v>51</v>
      </c>
      <c r="C5" s="18"/>
      <c r="D5" s="19"/>
      <c r="E5" s="24" t="s">
        <v>52</v>
      </c>
      <c r="F5" s="27" t="s">
        <v>53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28" t="s">
        <v>54</v>
      </c>
      <c r="B6" s="29" t="str">
        <f>B5&amp;"_"&amp;"Test Report"&amp;"_"&amp;"v1.1"</f>
        <v>FA25SE52_Test Report_v1.1</v>
      </c>
      <c r="C6" s="18"/>
      <c r="D6" s="19"/>
      <c r="E6" s="24" t="s">
        <v>55</v>
      </c>
      <c r="F6" s="30">
        <v>1.1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31"/>
      <c r="B7" s="22"/>
      <c r="C7" s="15"/>
      <c r="D7" s="15"/>
      <c r="E7" s="32"/>
      <c r="F7" s="22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33" t="s">
        <v>56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34" t="s">
        <v>57</v>
      </c>
      <c r="B10" s="35" t="s">
        <v>55</v>
      </c>
      <c r="C10" s="35" t="s">
        <v>58</v>
      </c>
      <c r="D10" s="35" t="s">
        <v>59</v>
      </c>
      <c r="E10" s="35" t="s">
        <v>60</v>
      </c>
      <c r="F10" s="36" t="s">
        <v>61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26.25" customHeight="1">
      <c r="A11" s="38" t="s">
        <v>62</v>
      </c>
      <c r="B11" s="39" t="s">
        <v>63</v>
      </c>
      <c r="C11" s="40" t="s">
        <v>64</v>
      </c>
      <c r="D11" s="40" t="s">
        <v>65</v>
      </c>
      <c r="E11" s="40" t="s">
        <v>66</v>
      </c>
      <c r="F11" s="41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21.75" customHeight="1">
      <c r="A12" s="43" t="s">
        <v>53</v>
      </c>
      <c r="B12" s="39" t="s">
        <v>67</v>
      </c>
      <c r="C12" s="40" t="s">
        <v>68</v>
      </c>
      <c r="D12" s="40" t="s">
        <v>65</v>
      </c>
      <c r="E12" s="40" t="s">
        <v>69</v>
      </c>
      <c r="F12" s="44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9.5" customHeight="1">
      <c r="A13" s="43" t="s">
        <v>70</v>
      </c>
      <c r="B13" s="39" t="s">
        <v>71</v>
      </c>
      <c r="C13" s="40" t="s">
        <v>68</v>
      </c>
      <c r="D13" s="40" t="s">
        <v>65</v>
      </c>
      <c r="E13" s="40" t="s">
        <v>72</v>
      </c>
      <c r="F13" s="45" t="s">
        <v>73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21.75" customHeight="1">
      <c r="A14" s="46"/>
      <c r="B14" s="47"/>
      <c r="C14" s="48"/>
      <c r="D14" s="48"/>
      <c r="E14" s="48"/>
      <c r="F14" s="44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9.5" customHeight="1">
      <c r="A15" s="46"/>
      <c r="B15" s="47"/>
      <c r="C15" s="48"/>
      <c r="D15" s="48"/>
      <c r="E15" s="48"/>
      <c r="F15" s="44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21.75" customHeight="1">
      <c r="A16" s="46"/>
      <c r="B16" s="47"/>
      <c r="C16" s="48"/>
      <c r="D16" s="48"/>
      <c r="E16" s="48"/>
      <c r="F16" s="44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9.5" customHeight="1">
      <c r="A17" s="49"/>
      <c r="B17" s="50"/>
      <c r="C17" s="51"/>
      <c r="D17" s="51"/>
      <c r="E17" s="51"/>
      <c r="F17" s="5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4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4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4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4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4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4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4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4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4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4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4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4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4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4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4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4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4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4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4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4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4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4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4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4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4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4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4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4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4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4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4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4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4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4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4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4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4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4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4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4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4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4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4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4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4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4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4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4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4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4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4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4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4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4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4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4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4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4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4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4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4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4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4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4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4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4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4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4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4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4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4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4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4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4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4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4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4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4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4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4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4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4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4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4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4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4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4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4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4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4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4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4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4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4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4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4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4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4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4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4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4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4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4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4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4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4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4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4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4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4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4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4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4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4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4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4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4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4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4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4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4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4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4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4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4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4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4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4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4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4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4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4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4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4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4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4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4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4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4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4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4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4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4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4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4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4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4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4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4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4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4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4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4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4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4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4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4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4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4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4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4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4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4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4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4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4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4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4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4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4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4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4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4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4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4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4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4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4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4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4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4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4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4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4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4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2.75" customHeight="1">
      <c r="A698" s="1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2.75" customHeight="1">
      <c r="A699" s="1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2.75" customHeight="1">
      <c r="A700" s="14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2.75" customHeight="1">
      <c r="A701" s="14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2.75" customHeight="1">
      <c r="A702" s="14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2.75" customHeight="1">
      <c r="A703" s="14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2.75" customHeight="1">
      <c r="A704" s="14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2.75" customHeight="1">
      <c r="A705" s="14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2.75" customHeight="1">
      <c r="A706" s="14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2.75" customHeight="1">
      <c r="A707" s="14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2.75" customHeight="1">
      <c r="A708" s="14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2.75" customHeight="1">
      <c r="A709" s="14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2.75" customHeight="1">
      <c r="A710" s="14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2.75" customHeight="1">
      <c r="A711" s="14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2.75" customHeight="1">
      <c r="A712" s="14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2.75" customHeight="1">
      <c r="A713" s="14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2.75" customHeight="1">
      <c r="A714" s="14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2.75" customHeight="1">
      <c r="A715" s="14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2.75" customHeight="1">
      <c r="A716" s="14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2.75" customHeight="1">
      <c r="A717" s="14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2.75" customHeight="1">
      <c r="A718" s="14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2.75" customHeight="1">
      <c r="A719" s="14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2.75" customHeight="1">
      <c r="A720" s="14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2.75" customHeight="1">
      <c r="A721" s="14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2.75" customHeight="1">
      <c r="A722" s="14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2.75" customHeight="1">
      <c r="A723" s="14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2.75" customHeight="1">
      <c r="A724" s="14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2.75" customHeight="1">
      <c r="A725" s="14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2.75" customHeight="1">
      <c r="A726" s="14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2.75" customHeight="1">
      <c r="A727" s="14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2.75" customHeight="1">
      <c r="A728" s="14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2.75" customHeight="1">
      <c r="A729" s="14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2.75" customHeight="1">
      <c r="A730" s="14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2.75" customHeight="1">
      <c r="A731" s="14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2.75" customHeight="1">
      <c r="A732" s="14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2.75" customHeight="1">
      <c r="A733" s="14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2.75" customHeight="1">
      <c r="A734" s="14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2.75" customHeight="1">
      <c r="A735" s="14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2.75" customHeight="1">
      <c r="A736" s="1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2.75" customHeight="1">
      <c r="A737" s="14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2.75" customHeight="1">
      <c r="A738" s="14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2.75" customHeight="1">
      <c r="A739" s="14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2.75" customHeight="1">
      <c r="A740" s="14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2.75" customHeight="1">
      <c r="A741" s="14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2.75" customHeight="1">
      <c r="A742" s="14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2.75" customHeight="1">
      <c r="A743" s="14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2.75" customHeight="1">
      <c r="A744" s="14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2.75" customHeight="1">
      <c r="A745" s="14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2.75" customHeight="1">
      <c r="A746" s="14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2.75" customHeight="1">
      <c r="A747" s="14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2.75" customHeight="1">
      <c r="A748" s="14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2.75" customHeight="1">
      <c r="A749" s="14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2.75" customHeight="1">
      <c r="A750" s="14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2.75" customHeight="1">
      <c r="A751" s="14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2.75" customHeight="1">
      <c r="A752" s="14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2.75" customHeight="1">
      <c r="A753" s="14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2.75" customHeight="1">
      <c r="A754" s="14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2.75" customHeight="1">
      <c r="A755" s="14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2.75" customHeight="1">
      <c r="A756" s="14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2.75" customHeight="1">
      <c r="A757" s="14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2.75" customHeight="1">
      <c r="A758" s="14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2.75" customHeight="1">
      <c r="A759" s="14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2.75" customHeight="1">
      <c r="A760" s="14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2.75" customHeight="1">
      <c r="A761" s="14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2.75" customHeight="1">
      <c r="A762" s="14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2.75" customHeight="1">
      <c r="A763" s="14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2.75" customHeight="1">
      <c r="A764" s="14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2.75" customHeight="1">
      <c r="A765" s="14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2.75" customHeight="1">
      <c r="A766" s="14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2.75" customHeight="1">
      <c r="A767" s="14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2.75" customHeight="1">
      <c r="A768" s="14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2.75" customHeight="1">
      <c r="A769" s="14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2.75" customHeight="1">
      <c r="A770" s="14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2.75" customHeight="1">
      <c r="A771" s="14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2.75" customHeight="1">
      <c r="A772" s="14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2.75" customHeight="1">
      <c r="A773" s="14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2.75" customHeight="1">
      <c r="A774" s="14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2.75" customHeight="1">
      <c r="A775" s="14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2.75" customHeight="1">
      <c r="A776" s="14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2.75" customHeight="1">
      <c r="A777" s="14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2.75" customHeight="1">
      <c r="A778" s="14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2.75" customHeight="1">
      <c r="A779" s="14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2.75" customHeight="1">
      <c r="A780" s="14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2.75" customHeight="1">
      <c r="A781" s="14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2.75" customHeight="1">
      <c r="A782" s="14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2.75" customHeight="1">
      <c r="A783" s="14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2.75" customHeight="1">
      <c r="A784" s="14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2.75" customHeight="1">
      <c r="A785" s="14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2.75" customHeight="1">
      <c r="A786" s="14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2.75" customHeight="1">
      <c r="A787" s="14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2.75" customHeight="1">
      <c r="A788" s="14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2.75" customHeight="1">
      <c r="A789" s="1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2.75" customHeight="1">
      <c r="A790" s="14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2.75" customHeight="1">
      <c r="A791" s="14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2.75" customHeight="1">
      <c r="A792" s="14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2.75" customHeight="1">
      <c r="A793" s="14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2.75" customHeight="1">
      <c r="A794" s="14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2.75" customHeight="1">
      <c r="A795" s="14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2.75" customHeight="1">
      <c r="A796" s="14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2.75" customHeight="1">
      <c r="A797" s="14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2.75" customHeight="1">
      <c r="A798" s="14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2.75" customHeight="1">
      <c r="A799" s="14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2.75" customHeight="1">
      <c r="A800" s="14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2.75" customHeight="1">
      <c r="A801" s="14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2.75" customHeight="1">
      <c r="A802" s="14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2.75" customHeight="1">
      <c r="A803" s="14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2.75" customHeight="1">
      <c r="A804" s="14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2.75" customHeight="1">
      <c r="A805" s="14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2.75" customHeight="1">
      <c r="A806" s="14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2.75" customHeight="1">
      <c r="A807" s="14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2.75" customHeight="1">
      <c r="A808" s="14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2.75" customHeight="1">
      <c r="A809" s="14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2.75" customHeight="1">
      <c r="A810" s="14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2.75" customHeight="1">
      <c r="A811" s="14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2.75" customHeight="1">
      <c r="A812" s="14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2.75" customHeight="1">
      <c r="A813" s="14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2.75" customHeight="1">
      <c r="A814" s="14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2.75" customHeight="1">
      <c r="A815" s="14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2.75" customHeight="1">
      <c r="A816" s="14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2.75" customHeight="1">
      <c r="A817" s="14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2.75" customHeight="1">
      <c r="A818" s="14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2.75" customHeight="1">
      <c r="A819" s="14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2.75" customHeight="1">
      <c r="A820" s="14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2.75" customHeight="1">
      <c r="A821" s="14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2.75" customHeight="1">
      <c r="A822" s="14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2.75" customHeight="1">
      <c r="A823" s="14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2.75" customHeight="1">
      <c r="A824" s="14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2.75" customHeight="1">
      <c r="A825" s="14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2.75" customHeight="1">
      <c r="A826" s="14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2.75" customHeight="1">
      <c r="A827" s="14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2.75" customHeight="1">
      <c r="A828" s="14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2.75" customHeight="1">
      <c r="A829" s="14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2.75" customHeight="1">
      <c r="A830" s="14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2.75" customHeight="1">
      <c r="A831" s="14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2.75" customHeight="1">
      <c r="A832" s="14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2.75" customHeight="1">
      <c r="A833" s="14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2.75" customHeight="1">
      <c r="A834" s="14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2.75" customHeight="1">
      <c r="A835" s="14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2.75" customHeight="1">
      <c r="A836" s="14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2.75" customHeight="1">
      <c r="A837" s="14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2.75" customHeight="1">
      <c r="A838" s="14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2.75" customHeight="1">
      <c r="A839" s="14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2.75" customHeight="1">
      <c r="A840" s="14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2.75" customHeight="1">
      <c r="A841" s="14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2.75" customHeight="1">
      <c r="A842" s="1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2.75" customHeight="1">
      <c r="A843" s="14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2.75" customHeight="1">
      <c r="A844" s="14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2.75" customHeight="1">
      <c r="A845" s="14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2.75" customHeight="1">
      <c r="A846" s="14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2.75" customHeight="1">
      <c r="A847" s="14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2.75" customHeight="1">
      <c r="A848" s="14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2.75" customHeight="1">
      <c r="A849" s="14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2.75" customHeight="1">
      <c r="A850" s="1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2.75" customHeight="1">
      <c r="A851" s="14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2.75" customHeight="1">
      <c r="A852" s="14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2.75" customHeight="1">
      <c r="A853" s="14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2.75" customHeight="1">
      <c r="A854" s="1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2.75" customHeight="1">
      <c r="A855" s="14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2.75" customHeight="1">
      <c r="A856" s="14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2.75" customHeight="1">
      <c r="A857" s="14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2.75" customHeight="1">
      <c r="A858" s="14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2.75" customHeight="1">
      <c r="A859" s="14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2.75" customHeight="1">
      <c r="A860" s="14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2.75" customHeight="1">
      <c r="A861" s="14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2.75" customHeight="1">
      <c r="A862" s="14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2.75" customHeight="1">
      <c r="A863" s="14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2.75" customHeight="1">
      <c r="A864" s="1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2.75" customHeight="1">
      <c r="A865" s="14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2.75" customHeight="1">
      <c r="A866" s="14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2.75" customHeight="1">
      <c r="A867" s="14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2.75" customHeight="1">
      <c r="A868" s="14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2.75" customHeight="1">
      <c r="A869" s="14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2.75" customHeight="1">
      <c r="A870" s="14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2.75" customHeight="1">
      <c r="A871" s="14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2.75" customHeight="1">
      <c r="A872" s="14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2.75" customHeight="1">
      <c r="A873" s="14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2.75" customHeight="1">
      <c r="A874" s="1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2.75" customHeight="1">
      <c r="A875" s="14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2.75" customHeight="1">
      <c r="A876" s="14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2.75" customHeight="1">
      <c r="A877" s="14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2.75" customHeight="1">
      <c r="A878" s="14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2.75" customHeight="1">
      <c r="A879" s="14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2.75" customHeight="1">
      <c r="A880" s="14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2.75" customHeight="1">
      <c r="A881" s="14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2.75" customHeight="1">
      <c r="A882" s="14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2.75" customHeight="1">
      <c r="A883" s="14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2.75" customHeight="1">
      <c r="A884" s="1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2.75" customHeight="1">
      <c r="A885" s="14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2.75" customHeight="1">
      <c r="A886" s="14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2.75" customHeight="1">
      <c r="A887" s="14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2.75" customHeight="1">
      <c r="A888" s="14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2.75" customHeight="1">
      <c r="A889" s="14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2.75" customHeight="1">
      <c r="A890" s="14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2.75" customHeight="1">
      <c r="A891" s="14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2.75" customHeight="1">
      <c r="A892" s="14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2.75" customHeight="1">
      <c r="A893" s="14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2.75" customHeight="1">
      <c r="A894" s="1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2.75" customHeight="1">
      <c r="A895" s="1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2.75" customHeight="1">
      <c r="A896" s="14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2.75" customHeight="1">
      <c r="A897" s="14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2.75" customHeight="1">
      <c r="A898" s="14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2.75" customHeight="1">
      <c r="A899" s="14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2.75" customHeight="1">
      <c r="A900" s="14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2.75" customHeight="1">
      <c r="A901" s="14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2.75" customHeight="1">
      <c r="A902" s="14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2.75" customHeight="1">
      <c r="A903" s="14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2.75" customHeight="1">
      <c r="A904" s="1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2.75" customHeight="1">
      <c r="A905" s="14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2.75" customHeight="1">
      <c r="A906" s="14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2.75" customHeight="1">
      <c r="A907" s="14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2.75" customHeight="1">
      <c r="A908" s="14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2.75" customHeight="1">
      <c r="A909" s="14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2.75" customHeight="1">
      <c r="A910" s="14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2.75" customHeight="1">
      <c r="A911" s="14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2.75" customHeight="1">
      <c r="A912" s="14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2.75" customHeight="1">
      <c r="A913" s="14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2.75" customHeight="1">
      <c r="A914" s="1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2.75" customHeight="1">
      <c r="A915" s="14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2.75" customHeight="1">
      <c r="A916" s="14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2.75" customHeight="1">
      <c r="A917" s="14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2.75" customHeight="1">
      <c r="A918" s="14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2.75" customHeight="1">
      <c r="A919" s="14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2.75" customHeight="1">
      <c r="A920" s="14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2.75" customHeight="1">
      <c r="A921" s="14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2.75" customHeight="1">
      <c r="A922" s="14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2.75" customHeight="1">
      <c r="A923" s="14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2.75" customHeight="1">
      <c r="A924" s="1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2.75" customHeight="1">
      <c r="A925" s="14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2.75" customHeight="1">
      <c r="A926" s="14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2.75" customHeight="1">
      <c r="A927" s="14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2.75" customHeight="1">
      <c r="A928" s="14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2.75" customHeight="1">
      <c r="A929" s="14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2.75" customHeight="1">
      <c r="A930" s="14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2.75" customHeight="1">
      <c r="A931" s="14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2.75" customHeight="1">
      <c r="A932" s="14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2.75" customHeight="1">
      <c r="A933" s="14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2.75" customHeight="1">
      <c r="A934" s="1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2.75" customHeight="1">
      <c r="A935" s="14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2.75" customHeight="1">
      <c r="A936" s="14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2.75" customHeight="1">
      <c r="A937" s="14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2.75" customHeight="1">
      <c r="A938" s="14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2.75" customHeight="1">
      <c r="A939" s="14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2.75" customHeight="1">
      <c r="A940" s="14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2.75" customHeight="1">
      <c r="A941" s="14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2.75" customHeight="1">
      <c r="A942" s="14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2.75" customHeight="1">
      <c r="A943" s="14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2.75" customHeight="1">
      <c r="A944" s="1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2.75" customHeight="1">
      <c r="A945" s="14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2.75" customHeight="1">
      <c r="A946" s="14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2.75" customHeight="1">
      <c r="A947" s="14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2.75" customHeight="1">
      <c r="A948" s="1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2.75" customHeight="1">
      <c r="A949" s="14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2.75" customHeight="1">
      <c r="A950" s="14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2.75" customHeight="1">
      <c r="A951" s="14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2.75" customHeight="1">
      <c r="A952" s="14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2.75" customHeight="1">
      <c r="A953" s="14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2.75" customHeight="1">
      <c r="A954" s="1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2.75" customHeight="1">
      <c r="A955" s="14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2.75" customHeight="1">
      <c r="A956" s="14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2.75" customHeight="1">
      <c r="A957" s="14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2.75" customHeight="1">
      <c r="A958" s="14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2.75" customHeight="1">
      <c r="A959" s="14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2.75" customHeight="1">
      <c r="A960" s="14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2.75" customHeight="1">
      <c r="A961" s="14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2.75" customHeight="1">
      <c r="A962" s="14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2.75" customHeight="1">
      <c r="A963" s="14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2.75" customHeight="1">
      <c r="A964" s="1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2.75" customHeight="1">
      <c r="A965" s="14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2.75" customHeight="1">
      <c r="A966" s="14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2.75" customHeight="1">
      <c r="A967" s="14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2.75" customHeight="1">
      <c r="A968" s="14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2.75" customHeight="1">
      <c r="A969" s="14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2.75" customHeight="1">
      <c r="A970" s="14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2.75" customHeight="1">
      <c r="A971" s="14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2.75" customHeight="1">
      <c r="A972" s="14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2.75" customHeight="1">
      <c r="A973" s="14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2.75" customHeight="1">
      <c r="A974" s="1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2.75" customHeight="1">
      <c r="A975" s="14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2.75" customHeight="1">
      <c r="A976" s="14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2.75" customHeight="1">
      <c r="A977" s="14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2.75" customHeight="1">
      <c r="A978" s="14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2.75" customHeight="1">
      <c r="A979" s="14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2.75" customHeight="1">
      <c r="A980" s="14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2.75" customHeight="1">
      <c r="A981" s="14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2.75" customHeight="1">
      <c r="A982" s="14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2.75" customHeight="1">
      <c r="A983" s="14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2.75" customHeight="1">
      <c r="A984" s="1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2.75" customHeight="1">
      <c r="A985" s="14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2.75" customHeight="1">
      <c r="A986" s="14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2.75" customHeight="1">
      <c r="A987" s="14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2.75" customHeight="1">
      <c r="A988" s="14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2.75" customHeight="1">
      <c r="A989" s="14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2.75" customHeight="1">
      <c r="A990" s="14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2.75" customHeight="1">
      <c r="A991" s="14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2.75" customHeight="1">
      <c r="A992" s="14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2.75" customHeight="1">
      <c r="A993" s="14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2.75" customHeight="1">
      <c r="A994" s="1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2.75" customHeight="1">
      <c r="A995" s="14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2.75" customHeight="1">
      <c r="A996" s="14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2.75" customHeight="1">
      <c r="A997" s="14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2.75" customHeight="1">
      <c r="A998" s="14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2.75" customHeight="1">
      <c r="A999" s="14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2.75" customHeight="1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">
    <mergeCell ref="B2:F2"/>
    <mergeCell ref="B4:D4"/>
    <mergeCell ref="B5:D5"/>
    <mergeCell ref="B6:D6"/>
  </mergeCells>
  <hyperlinks>
    <hyperlink display="CreateCampaignCategory" location="CreateCampaignCategory!A1" ref="F13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88"/>
    <col customWidth="1" min="6" max="8" width="5.13"/>
    <col customWidth="1" min="9" max="9" width="21.0"/>
    <col customWidth="1" min="10" max="26" width="10.0"/>
  </cols>
  <sheetData>
    <row r="1" ht="12.7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25.5" customHeight="1">
      <c r="A2" s="53" t="s">
        <v>74</v>
      </c>
      <c r="B2" s="54"/>
      <c r="C2" s="54"/>
      <c r="D2" s="54"/>
      <c r="E2" s="54"/>
      <c r="F2" s="54"/>
      <c r="G2" s="54"/>
      <c r="H2" s="54"/>
      <c r="I2" s="55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4.25" customHeight="1">
      <c r="A3" s="56"/>
      <c r="B3" s="23"/>
      <c r="C3" s="23"/>
      <c r="D3" s="23"/>
      <c r="E3" s="23"/>
      <c r="F3" s="23"/>
      <c r="G3" s="23"/>
      <c r="H3" s="23"/>
      <c r="I3" s="57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58" t="s">
        <v>46</v>
      </c>
      <c r="B4" s="59" t="str">
        <f>Cover!B4</f>
        <v>FoodFund - A crowdfunding system for food preparation and distribution to support communities in need</v>
      </c>
      <c r="C4" s="19"/>
      <c r="D4" s="60" t="s">
        <v>48</v>
      </c>
      <c r="E4" s="19"/>
      <c r="F4" s="61" t="s">
        <v>49</v>
      </c>
      <c r="G4" s="18"/>
      <c r="H4" s="18"/>
      <c r="I4" s="19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3.5" customHeight="1">
      <c r="A5" s="58" t="s">
        <v>50</v>
      </c>
      <c r="B5" s="59" t="str">
        <f>Cover!B5</f>
        <v>FA25SE52</v>
      </c>
      <c r="C5" s="19"/>
      <c r="D5" s="60" t="s">
        <v>75</v>
      </c>
      <c r="E5" s="19"/>
      <c r="F5" s="61" t="s">
        <v>76</v>
      </c>
      <c r="G5" s="18"/>
      <c r="H5" s="18"/>
      <c r="I5" s="19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2.75" customHeight="1">
      <c r="A6" s="28" t="s">
        <v>54</v>
      </c>
      <c r="B6" s="59" t="str">
        <f>B5&amp;"_"&amp;"Test Report"&amp;"_"&amp;"v1.1"</f>
        <v>FA25SE52_Test Report_v1.1</v>
      </c>
      <c r="C6" s="19"/>
      <c r="D6" s="60" t="s">
        <v>52</v>
      </c>
      <c r="E6" s="19"/>
      <c r="F6" s="62" t="s">
        <v>53</v>
      </c>
      <c r="G6" s="18"/>
      <c r="H6" s="18"/>
      <c r="I6" s="19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8" t="s">
        <v>77</v>
      </c>
      <c r="B7" s="63"/>
      <c r="C7" s="18"/>
      <c r="D7" s="18"/>
      <c r="E7" s="18"/>
      <c r="F7" s="18"/>
      <c r="G7" s="18"/>
      <c r="H7" s="18"/>
      <c r="I7" s="19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4.25" customHeight="1">
      <c r="A8" s="64"/>
      <c r="B8" s="65"/>
      <c r="C8" s="23"/>
      <c r="D8" s="23"/>
      <c r="E8" s="23"/>
      <c r="F8" s="23"/>
      <c r="G8" s="23"/>
      <c r="H8" s="23"/>
      <c r="I8" s="57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2.75" customHeight="1">
      <c r="A9" s="64"/>
      <c r="B9" s="65"/>
      <c r="C9" s="23"/>
      <c r="D9" s="23"/>
      <c r="E9" s="23"/>
      <c r="F9" s="23"/>
      <c r="G9" s="23"/>
      <c r="H9" s="23"/>
      <c r="I9" s="57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2.75" customHeight="1">
      <c r="A10" s="66"/>
      <c r="B10" s="66"/>
      <c r="C10" s="66"/>
      <c r="D10" s="66"/>
      <c r="E10" s="66"/>
      <c r="F10" s="66"/>
      <c r="G10" s="66"/>
      <c r="H10" s="66"/>
      <c r="I10" s="66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67" t="s">
        <v>78</v>
      </c>
      <c r="B11" s="68" t="s">
        <v>79</v>
      </c>
      <c r="C11" s="69" t="s">
        <v>80</v>
      </c>
      <c r="D11" s="68" t="s">
        <v>81</v>
      </c>
      <c r="E11" s="70" t="s">
        <v>82</v>
      </c>
      <c r="F11" s="70" t="s">
        <v>83</v>
      </c>
      <c r="G11" s="70" t="s">
        <v>65</v>
      </c>
      <c r="H11" s="70" t="s">
        <v>84</v>
      </c>
      <c r="I11" s="71" t="s">
        <v>85</v>
      </c>
      <c r="J11" s="7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2.75" customHeight="1">
      <c r="A12" s="73">
        <v>1.0</v>
      </c>
      <c r="B12" s="74" t="s">
        <v>86</v>
      </c>
      <c r="C12" s="75">
        <f>SignUp!A7</f>
        <v>7</v>
      </c>
      <c r="D12" s="75">
        <f>SignUp!C7</f>
        <v>0</v>
      </c>
      <c r="E12" s="75">
        <f>SignUp!F7</f>
        <v>0</v>
      </c>
      <c r="F12" s="75">
        <f>SignUp!L7</f>
        <v>1</v>
      </c>
      <c r="G12" s="75">
        <f>SignUp!M7</f>
        <v>3</v>
      </c>
      <c r="H12" s="75">
        <f>SignUp!N7</f>
        <v>3</v>
      </c>
      <c r="I12" s="76">
        <f>SignUp!O7</f>
        <v>7</v>
      </c>
      <c r="J12" s="7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.75" customHeight="1">
      <c r="A13" s="77">
        <v>2.0</v>
      </c>
      <c r="B13" s="78" t="s">
        <v>87</v>
      </c>
      <c r="C13" s="79">
        <f>SignIn!A7</f>
        <v>8</v>
      </c>
      <c r="D13" s="79">
        <f>SignIn!C7</f>
        <v>0</v>
      </c>
      <c r="E13" s="79">
        <f>SignIn!F7</f>
        <v>0</v>
      </c>
      <c r="F13" s="79">
        <f>SignIn!L7</f>
        <v>1</v>
      </c>
      <c r="G13" s="79">
        <f>SignIn!M7</f>
        <v>5</v>
      </c>
      <c r="H13" s="79">
        <f>SignIn!N7</f>
        <v>2</v>
      </c>
      <c r="I13" s="80">
        <f>SignIn!O7</f>
        <v>8</v>
      </c>
      <c r="J13" s="7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2.75" customHeight="1">
      <c r="A14" s="81">
        <v>3.0</v>
      </c>
      <c r="B14" s="78" t="s">
        <v>88</v>
      </c>
      <c r="C14" s="79">
        <f>ConfirmSignUp!A7</f>
        <v>8</v>
      </c>
      <c r="D14" s="79">
        <f>ConfirmSignUp!C7</f>
        <v>0</v>
      </c>
      <c r="E14" s="79">
        <f>ConfirmSignUp!F7</f>
        <v>0</v>
      </c>
      <c r="F14" s="79">
        <f>ConfirmSignUp!L7</f>
        <v>1</v>
      </c>
      <c r="G14" s="79">
        <f>ConfirmSignUp!M7</f>
        <v>4</v>
      </c>
      <c r="H14" s="79">
        <f>ConfirmSignUp!N7</f>
        <v>3</v>
      </c>
      <c r="I14" s="80">
        <f>ConfirmSignUp!O7</f>
        <v>8</v>
      </c>
      <c r="J14" s="7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81">
        <v>4.0</v>
      </c>
      <c r="B15" s="78" t="s">
        <v>89</v>
      </c>
      <c r="C15" s="79">
        <f>RequestCreateOrganization!A7</f>
        <v>13</v>
      </c>
      <c r="D15" s="79">
        <f>RequestCreateOrganization!C7</f>
        <v>0</v>
      </c>
      <c r="E15" s="79">
        <f>RequestCreateOrganization!F7</f>
        <v>0</v>
      </c>
      <c r="F15" s="79">
        <f>RequestCreateOrganization!L7</f>
        <v>2</v>
      </c>
      <c r="G15" s="79">
        <f>RequestCreateOrganization!M7</f>
        <v>4</v>
      </c>
      <c r="H15" s="79">
        <f>RequestCreateOrganization!N7</f>
        <v>7</v>
      </c>
      <c r="I15" s="80">
        <f>RequestCreateOrganization!O7</f>
        <v>13</v>
      </c>
      <c r="J15" s="72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75" customHeight="1">
      <c r="A16" s="81">
        <v>5.0</v>
      </c>
      <c r="B16" s="78" t="s">
        <v>90</v>
      </c>
      <c r="C16" s="79">
        <f>CreateCampaign!A7</f>
        <v>19</v>
      </c>
      <c r="D16" s="79">
        <f>CreateCampaign!C7</f>
        <v>0</v>
      </c>
      <c r="E16" s="79">
        <f>CreateCampaign!F7</f>
        <v>0</v>
      </c>
      <c r="F16" s="79">
        <f>CreateCampaign!L7</f>
        <v>1</v>
      </c>
      <c r="G16" s="79">
        <f>CreateCampaign!M7</f>
        <v>7</v>
      </c>
      <c r="H16" s="79">
        <f>CreateCampaign!N7</f>
        <v>11</v>
      </c>
      <c r="I16" s="80">
        <f>CreateCampaign!O7</f>
        <v>19</v>
      </c>
      <c r="J16" s="72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3.5" customHeight="1">
      <c r="A17" s="81">
        <v>6.0</v>
      </c>
      <c r="B17" s="78" t="s">
        <v>91</v>
      </c>
      <c r="C17" s="79">
        <f>CreateDonation!A7</f>
        <v>16</v>
      </c>
      <c r="D17" s="79">
        <f>CreateDonation!C7</f>
        <v>0</v>
      </c>
      <c r="E17" s="79">
        <f>CreateDonation!F7</f>
        <v>0</v>
      </c>
      <c r="F17" s="79">
        <f>CreateDonation!L7</f>
        <v>4</v>
      </c>
      <c r="G17" s="79">
        <f>CreateDonation!M7</f>
        <v>4</v>
      </c>
      <c r="H17" s="79">
        <f>CreateDonation!N7</f>
        <v>8</v>
      </c>
      <c r="I17" s="80">
        <f>CreateDonation!O7</f>
        <v>16</v>
      </c>
      <c r="J17" s="7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3.5" customHeight="1">
      <c r="A18" s="81">
        <v>7.0</v>
      </c>
      <c r="B18" s="78" t="s">
        <v>92</v>
      </c>
      <c r="C18" s="79">
        <f>CreateOperationRequest!A7</f>
        <v>13</v>
      </c>
      <c r="D18" s="79">
        <f>CreateOperationRequest!C7</f>
        <v>0</v>
      </c>
      <c r="E18" s="79">
        <f>CreateOperationRequest!F7</f>
        <v>0</v>
      </c>
      <c r="F18" s="79">
        <f>CreateOperationRequest!K7</f>
        <v>2</v>
      </c>
      <c r="G18" s="79">
        <f>CreateOperationRequest!L7</f>
        <v>5</v>
      </c>
      <c r="H18" s="79">
        <f>CreateOperationRequest!M7</f>
        <v>6</v>
      </c>
      <c r="I18" s="80">
        <f>CreateOperationRequest!N7</f>
        <v>13</v>
      </c>
      <c r="J18" s="72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3.5" customHeight="1">
      <c r="A19" s="81">
        <v>8.0</v>
      </c>
      <c r="B19" s="78" t="s">
        <v>93</v>
      </c>
      <c r="C19" s="79">
        <f>CreateIngredientRequest!A7</f>
        <v>10</v>
      </c>
      <c r="D19" s="79">
        <f>CreateIngredientRequest!C7</f>
        <v>0</v>
      </c>
      <c r="E19" s="79">
        <f>CreateIngredientRequest!F7</f>
        <v>0</v>
      </c>
      <c r="F19" s="79">
        <f>CreateIngredientRequest!L7</f>
        <v>1</v>
      </c>
      <c r="G19" s="79">
        <f>CreateIngredientRequest!M7</f>
        <v>3</v>
      </c>
      <c r="H19" s="79">
        <f>CreateIngredientRequest!N7</f>
        <v>6</v>
      </c>
      <c r="I19" s="80">
        <f>CreateIngredientRequest!O7</f>
        <v>10</v>
      </c>
      <c r="J19" s="72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3.5" customHeight="1">
      <c r="A20" s="81">
        <v>9.0</v>
      </c>
      <c r="B20" s="78" t="s">
        <v>94</v>
      </c>
      <c r="C20" s="79">
        <f>CreateMealBatch!A7</f>
        <v>17</v>
      </c>
      <c r="D20" s="79">
        <f>CreateMealBatch!C7</f>
        <v>0</v>
      </c>
      <c r="E20" s="79">
        <f>CreateMealBatch!F7</f>
        <v>0</v>
      </c>
      <c r="F20" s="79">
        <f>CreateMealBatch!L7</f>
        <v>2</v>
      </c>
      <c r="G20" s="79">
        <f>CreateMealBatch!M7</f>
        <v>6</v>
      </c>
      <c r="H20" s="79">
        <f>CreateMealBatch!N7</f>
        <v>9</v>
      </c>
      <c r="I20" s="80">
        <f>CreateMealBatch!O7</f>
        <v>17</v>
      </c>
      <c r="J20" s="72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3.5" customHeight="1">
      <c r="A21" s="82">
        <v>10.0</v>
      </c>
      <c r="B21" s="83" t="s">
        <v>73</v>
      </c>
      <c r="C21" s="84">
        <f>CreateCampaignCategory!A7</f>
        <v>9</v>
      </c>
      <c r="D21" s="84">
        <f>CreateCampaignCategory!C7</f>
        <v>0</v>
      </c>
      <c r="E21" s="84">
        <f>CreateCampaignCategory!F7</f>
        <v>0</v>
      </c>
      <c r="F21" s="84">
        <f>CreateCampaignCategory!L7</f>
        <v>1</v>
      </c>
      <c r="G21" s="84">
        <f>CreateCampaignCategory!M7</f>
        <v>5</v>
      </c>
      <c r="H21" s="84">
        <f>CreateCampaignCategory!N7</f>
        <v>3</v>
      </c>
      <c r="I21" s="85">
        <f>CreateCampaignCategory!O7</f>
        <v>9</v>
      </c>
      <c r="J21" s="72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3.5" customHeight="1">
      <c r="A22" s="86"/>
      <c r="B22" s="87" t="s">
        <v>95</v>
      </c>
      <c r="C22" s="88">
        <f>SUM(C12:C21)</f>
        <v>120</v>
      </c>
      <c r="D22" s="88">
        <f t="shared" ref="D22:E22" si="1">SUM(D10:D21)</f>
        <v>0</v>
      </c>
      <c r="E22" s="88">
        <f t="shared" si="1"/>
        <v>0</v>
      </c>
      <c r="F22" s="88">
        <f t="shared" ref="F22:I22" si="2">SUM(F12:F21)</f>
        <v>16</v>
      </c>
      <c r="G22" s="88">
        <f t="shared" si="2"/>
        <v>46</v>
      </c>
      <c r="H22" s="88">
        <f t="shared" si="2"/>
        <v>58</v>
      </c>
      <c r="I22" s="89">
        <f t="shared" si="2"/>
        <v>120</v>
      </c>
      <c r="J22" s="72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90"/>
      <c r="B23" s="91"/>
      <c r="C23" s="92"/>
      <c r="D23" s="93"/>
      <c r="E23" s="93"/>
      <c r="F23" s="93"/>
      <c r="G23" s="93"/>
      <c r="H23" s="93"/>
      <c r="I23" s="9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>
      <c r="A24" s="23"/>
      <c r="B24" s="94" t="s">
        <v>96</v>
      </c>
      <c r="C24" s="23"/>
      <c r="D24" s="95">
        <f>(C22+D22)*100/(I22)</f>
        <v>100</v>
      </c>
      <c r="E24" s="23" t="s">
        <v>97</v>
      </c>
      <c r="F24" s="23"/>
      <c r="G24" s="23"/>
      <c r="H24" s="23"/>
      <c r="I24" s="96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75" customHeight="1">
      <c r="A25" s="23"/>
      <c r="B25" s="94" t="s">
        <v>98</v>
      </c>
      <c r="C25" s="23"/>
      <c r="D25" s="95">
        <f>C22*100/(I22)</f>
        <v>100</v>
      </c>
      <c r="E25" s="23" t="s">
        <v>97</v>
      </c>
      <c r="F25" s="23"/>
      <c r="G25" s="23"/>
      <c r="H25" s="23"/>
      <c r="I25" s="96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>
      <c r="A26" s="23"/>
      <c r="B26" s="94" t="s">
        <v>99</v>
      </c>
      <c r="C26" s="23"/>
      <c r="D26" s="95">
        <f>F22*100/I22</f>
        <v>13.33333333</v>
      </c>
      <c r="E26" s="23" t="s">
        <v>97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75" customHeight="1">
      <c r="A27" s="23"/>
      <c r="B27" s="94" t="s">
        <v>100</v>
      </c>
      <c r="C27" s="23"/>
      <c r="D27" s="95">
        <f>G22*100/I22</f>
        <v>38.33333333</v>
      </c>
      <c r="E27" s="23" t="s">
        <v>97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>
      <c r="A28" s="23"/>
      <c r="B28" s="94" t="s">
        <v>101</v>
      </c>
      <c r="C28" s="23"/>
      <c r="D28" s="95">
        <f>H22*100/I22</f>
        <v>48.33333333</v>
      </c>
      <c r="E28" s="23" t="s">
        <v>97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ht="12.75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ht="12.75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 ht="12.75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 ht="12.75" customHeight="1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 ht="12.75" customHeight="1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SignUp" location="SignUp!A1" ref="B12"/>
    <hyperlink display="SignIn" location="SignIn!A1" ref="B13"/>
    <hyperlink display="ConfirmSignUp" location="ConfirmSignUp!A1" ref="B14"/>
    <hyperlink display="RequestCreateOrganization" location="RequestCreateOrganization!A1" ref="B15"/>
    <hyperlink display="CreateCampaign" location="CreateCampaign!A1" ref="B16"/>
    <hyperlink display="CreateDonation" location="CreateDonation!A1" ref="B17"/>
    <hyperlink display="CreateOperationRequest" location="CreateDonation!A1" ref="B18"/>
    <hyperlink display="CreateIngredientRequest" location="CreateIngredientRequest!A1" ref="B19"/>
    <hyperlink display="CreateMealBatch" location="CreateMealBatch!A1" ref="B20"/>
    <hyperlink display="CreateCampaignCategory" location="CreateCampaignCategory!A1" ref="B21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4.88"/>
    <col customWidth="1" min="3" max="3" width="26.75"/>
    <col customWidth="1" min="4" max="4" width="20.5"/>
    <col customWidth="1" min="5" max="6" width="21.0"/>
    <col customWidth="1" min="7" max="7" width="41.88"/>
    <col customWidth="1" min="8" max="8" width="51.38"/>
    <col customWidth="1" min="9" max="26" width="10.0"/>
  </cols>
  <sheetData>
    <row r="1" ht="12.75" customHeight="1">
      <c r="A1" s="97"/>
      <c r="B1" s="97"/>
      <c r="C1" s="97"/>
      <c r="D1" s="98"/>
      <c r="E1" s="99"/>
      <c r="F1" s="98"/>
      <c r="G1" s="98"/>
      <c r="H1" s="98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24.75" customHeight="1">
      <c r="A2" s="97"/>
      <c r="B2" s="97"/>
      <c r="C2" s="97"/>
      <c r="D2" s="98"/>
      <c r="E2" s="100" t="s">
        <v>102</v>
      </c>
      <c r="F2" s="100"/>
      <c r="G2" s="101"/>
      <c r="H2" s="98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3.5" customHeight="1">
      <c r="A3" s="97"/>
      <c r="B3" s="97"/>
      <c r="C3" s="97"/>
      <c r="D3" s="98"/>
      <c r="E3" s="99"/>
      <c r="F3" s="102"/>
      <c r="G3" s="102"/>
      <c r="H3" s="98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4.25" customHeight="1">
      <c r="A4" s="103" t="s">
        <v>46</v>
      </c>
      <c r="B4" s="18"/>
      <c r="C4" s="18"/>
      <c r="D4" s="104"/>
      <c r="E4" s="105" t="s">
        <v>47</v>
      </c>
      <c r="F4" s="18"/>
      <c r="G4" s="18"/>
      <c r="H4" s="19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103" t="s">
        <v>50</v>
      </c>
      <c r="B5" s="18"/>
      <c r="C5" s="18"/>
      <c r="D5" s="104"/>
      <c r="E5" s="59" t="str">
        <f>Cover!B5</f>
        <v>FA25SE52</v>
      </c>
      <c r="F5" s="18"/>
      <c r="G5" s="18"/>
      <c r="H5" s="19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4.25" customHeight="1">
      <c r="A6" s="106" t="s">
        <v>103</v>
      </c>
      <c r="B6" s="18"/>
      <c r="C6" s="18"/>
      <c r="D6" s="19"/>
      <c r="E6" s="107">
        <v>100.0</v>
      </c>
      <c r="F6" s="108"/>
      <c r="G6" s="108"/>
      <c r="H6" s="109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110" t="s">
        <v>104</v>
      </c>
      <c r="B7" s="18"/>
      <c r="C7" s="18"/>
      <c r="D7" s="19"/>
      <c r="E7" s="111"/>
      <c r="F7" s="18"/>
      <c r="G7" s="18"/>
      <c r="H7" s="19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113"/>
      <c r="B8" s="113"/>
      <c r="C8" s="113"/>
      <c r="D8" s="23"/>
      <c r="E8" s="11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2.75" customHeight="1">
      <c r="A9" s="114"/>
      <c r="B9" s="114"/>
      <c r="C9" s="114"/>
      <c r="D9" s="115"/>
      <c r="E9" s="116"/>
      <c r="F9" s="115"/>
      <c r="G9" s="115"/>
      <c r="H9" s="115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ht="24.0" customHeight="1">
      <c r="A10" s="118" t="s">
        <v>78</v>
      </c>
      <c r="B10" s="119" t="s">
        <v>105</v>
      </c>
      <c r="C10" s="120" t="s">
        <v>106</v>
      </c>
      <c r="D10" s="121" t="s">
        <v>107</v>
      </c>
      <c r="E10" s="122" t="s">
        <v>108</v>
      </c>
      <c r="F10" s="121" t="s">
        <v>109</v>
      </c>
      <c r="G10" s="123" t="s">
        <v>110</v>
      </c>
      <c r="H10" s="124" t="s">
        <v>111</v>
      </c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ht="13.5" customHeight="1">
      <c r="A11" s="126">
        <v>1.0</v>
      </c>
      <c r="B11" s="127"/>
      <c r="C11" s="128" t="s">
        <v>112</v>
      </c>
      <c r="D11" s="129" t="s">
        <v>113</v>
      </c>
      <c r="E11" s="130" t="s">
        <v>114</v>
      </c>
      <c r="F11" s="78" t="s">
        <v>86</v>
      </c>
      <c r="G11" s="131"/>
      <c r="H11" s="132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3.5" customHeight="1">
      <c r="A12" s="126">
        <v>2.0</v>
      </c>
      <c r="B12" s="127"/>
      <c r="C12" s="128" t="s">
        <v>115</v>
      </c>
      <c r="D12" s="129" t="s">
        <v>116</v>
      </c>
      <c r="E12" s="130" t="s">
        <v>117</v>
      </c>
      <c r="F12" s="78" t="s">
        <v>87</v>
      </c>
      <c r="G12" s="131"/>
      <c r="H12" s="132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3.5" customHeight="1">
      <c r="A13" s="126">
        <v>3.0</v>
      </c>
      <c r="B13" s="127"/>
      <c r="C13" s="128" t="s">
        <v>112</v>
      </c>
      <c r="D13" s="129" t="s">
        <v>118</v>
      </c>
      <c r="E13" s="130" t="s">
        <v>119</v>
      </c>
      <c r="F13" s="78" t="s">
        <v>88</v>
      </c>
      <c r="G13" s="131"/>
      <c r="H13" s="132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3.5" customHeight="1">
      <c r="A14" s="133">
        <v>4.0</v>
      </c>
      <c r="B14" s="127"/>
      <c r="C14" s="128" t="s">
        <v>120</v>
      </c>
      <c r="D14" s="129" t="s">
        <v>121</v>
      </c>
      <c r="E14" s="130" t="s">
        <v>122</v>
      </c>
      <c r="F14" s="78" t="s">
        <v>89</v>
      </c>
      <c r="G14" s="131"/>
      <c r="H14" s="13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3.5" customHeight="1">
      <c r="A15" s="133">
        <v>5.0</v>
      </c>
      <c r="B15" s="127"/>
      <c r="C15" s="128" t="s">
        <v>123</v>
      </c>
      <c r="D15" s="129" t="s">
        <v>124</v>
      </c>
      <c r="E15" s="130" t="s">
        <v>125</v>
      </c>
      <c r="F15" s="78" t="s">
        <v>90</v>
      </c>
      <c r="G15" s="131"/>
      <c r="H15" s="13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3.5" customHeight="1">
      <c r="A16" s="133">
        <v>6.0</v>
      </c>
      <c r="B16" s="127"/>
      <c r="C16" s="128" t="s">
        <v>126</v>
      </c>
      <c r="D16" s="129" t="s">
        <v>127</v>
      </c>
      <c r="E16" s="130" t="s">
        <v>128</v>
      </c>
      <c r="F16" s="78" t="s">
        <v>91</v>
      </c>
      <c r="G16" s="131"/>
      <c r="H16" s="13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2.75" customHeight="1">
      <c r="A17" s="133">
        <v>7.0</v>
      </c>
      <c r="B17" s="127"/>
      <c r="C17" s="128" t="s">
        <v>129</v>
      </c>
      <c r="D17" s="129" t="s">
        <v>130</v>
      </c>
      <c r="E17" s="130" t="s">
        <v>131</v>
      </c>
      <c r="F17" s="78" t="s">
        <v>92</v>
      </c>
      <c r="G17" s="134"/>
      <c r="H17" s="13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2.75" customHeight="1">
      <c r="A18" s="133">
        <v>8.0</v>
      </c>
      <c r="B18" s="127"/>
      <c r="C18" s="128" t="s">
        <v>132</v>
      </c>
      <c r="D18" s="129" t="s">
        <v>133</v>
      </c>
      <c r="E18" s="130" t="s">
        <v>134</v>
      </c>
      <c r="F18" s="78" t="s">
        <v>93</v>
      </c>
      <c r="G18" s="134"/>
      <c r="H18" s="13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2.75" customHeight="1">
      <c r="A19" s="133">
        <v>9.0</v>
      </c>
      <c r="B19" s="127"/>
      <c r="C19" s="128" t="s">
        <v>135</v>
      </c>
      <c r="D19" s="129" t="s">
        <v>136</v>
      </c>
      <c r="E19" s="130" t="s">
        <v>137</v>
      </c>
      <c r="F19" s="78" t="s">
        <v>94</v>
      </c>
      <c r="G19" s="134"/>
      <c r="H19" s="13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2.75" customHeight="1">
      <c r="A20" s="133">
        <v>10.0</v>
      </c>
      <c r="B20" s="127"/>
      <c r="C20" s="128" t="s">
        <v>138</v>
      </c>
      <c r="D20" s="129" t="s">
        <v>139</v>
      </c>
      <c r="E20" s="130" t="s">
        <v>140</v>
      </c>
      <c r="F20" s="78" t="s">
        <v>73</v>
      </c>
      <c r="G20" s="134"/>
      <c r="H20" s="13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2.75" customHeight="1">
      <c r="A21" s="126"/>
      <c r="B21" s="127"/>
      <c r="C21" s="127"/>
      <c r="D21" s="135"/>
      <c r="E21" s="136"/>
      <c r="F21" s="134"/>
      <c r="G21" s="134"/>
      <c r="H21" s="13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.75" customHeight="1">
      <c r="A22" s="126"/>
      <c r="B22" s="127"/>
      <c r="C22" s="127"/>
      <c r="D22" s="135"/>
      <c r="E22" s="136"/>
      <c r="F22" s="134"/>
      <c r="G22" s="134"/>
      <c r="H22" s="13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137"/>
      <c r="B23" s="138"/>
      <c r="C23" s="138"/>
      <c r="D23" s="139"/>
      <c r="E23" s="140"/>
      <c r="F23" s="141"/>
      <c r="G23" s="141"/>
      <c r="H23" s="14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>
      <c r="A24" s="97"/>
      <c r="B24" s="97"/>
      <c r="C24" s="97"/>
      <c r="D24" s="98"/>
      <c r="E24" s="99"/>
      <c r="F24" s="98"/>
      <c r="G24" s="98"/>
      <c r="H24" s="9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75" customHeight="1">
      <c r="A25" s="97"/>
      <c r="B25" s="97"/>
      <c r="C25" s="97"/>
      <c r="D25" s="98"/>
      <c r="E25" s="99"/>
      <c r="F25" s="98"/>
      <c r="G25" s="98"/>
      <c r="H25" s="9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>
      <c r="A26" s="97"/>
      <c r="B26" s="97"/>
      <c r="C26" s="97"/>
      <c r="D26" s="98"/>
      <c r="E26" s="99"/>
      <c r="F26" s="98"/>
      <c r="G26" s="98"/>
      <c r="H26" s="9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75" customHeight="1">
      <c r="A27" s="97"/>
      <c r="B27" s="97"/>
      <c r="C27" s="97"/>
      <c r="D27" s="98"/>
      <c r="E27" s="99"/>
      <c r="F27" s="98"/>
      <c r="G27" s="98"/>
      <c r="H27" s="9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>
      <c r="A28" s="97"/>
      <c r="B28" s="97"/>
      <c r="C28" s="97"/>
      <c r="D28" s="98"/>
      <c r="E28" s="99"/>
      <c r="F28" s="98"/>
      <c r="G28" s="98"/>
      <c r="H28" s="9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97"/>
      <c r="B29" s="97"/>
      <c r="C29" s="97"/>
      <c r="D29" s="98"/>
      <c r="E29" s="99"/>
      <c r="F29" s="98"/>
      <c r="G29" s="98"/>
      <c r="H29" s="9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>
      <c r="A30" s="97"/>
      <c r="B30" s="97"/>
      <c r="C30" s="97"/>
      <c r="D30" s="98"/>
      <c r="E30" s="99"/>
      <c r="F30" s="98"/>
      <c r="G30" s="98"/>
      <c r="H30" s="9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>
      <c r="A31" s="97"/>
      <c r="B31" s="97"/>
      <c r="C31" s="97"/>
      <c r="D31" s="98"/>
      <c r="E31" s="99"/>
      <c r="F31" s="98"/>
      <c r="G31" s="98"/>
      <c r="H31" s="9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>
      <c r="A32" s="97"/>
      <c r="B32" s="97"/>
      <c r="C32" s="97"/>
      <c r="D32" s="98"/>
      <c r="E32" s="99"/>
      <c r="F32" s="98"/>
      <c r="G32" s="98"/>
      <c r="H32" s="9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97"/>
      <c r="B33" s="97"/>
      <c r="C33" s="97"/>
      <c r="D33" s="98"/>
      <c r="E33" s="99"/>
      <c r="F33" s="98"/>
      <c r="G33" s="98"/>
      <c r="H33" s="9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97"/>
      <c r="B34" s="97"/>
      <c r="C34" s="97"/>
      <c r="D34" s="98"/>
      <c r="E34" s="99"/>
      <c r="F34" s="98"/>
      <c r="G34" s="98"/>
      <c r="H34" s="9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97"/>
      <c r="B35" s="97"/>
      <c r="C35" s="97"/>
      <c r="D35" s="98"/>
      <c r="E35" s="99"/>
      <c r="F35" s="98"/>
      <c r="G35" s="98"/>
      <c r="H35" s="9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97"/>
      <c r="B36" s="97"/>
      <c r="C36" s="97"/>
      <c r="D36" s="98"/>
      <c r="E36" s="99"/>
      <c r="F36" s="98"/>
      <c r="G36" s="98"/>
      <c r="H36" s="9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97"/>
      <c r="B37" s="97"/>
      <c r="C37" s="97"/>
      <c r="D37" s="98"/>
      <c r="E37" s="99"/>
      <c r="F37" s="98"/>
      <c r="G37" s="98"/>
      <c r="H37" s="9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97"/>
      <c r="B38" s="97"/>
      <c r="C38" s="97"/>
      <c r="D38" s="98"/>
      <c r="E38" s="99"/>
      <c r="F38" s="98"/>
      <c r="G38" s="98"/>
      <c r="H38" s="9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97"/>
      <c r="B39" s="97"/>
      <c r="C39" s="97"/>
      <c r="D39" s="98"/>
      <c r="E39" s="99"/>
      <c r="F39" s="98"/>
      <c r="G39" s="98"/>
      <c r="H39" s="9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97"/>
      <c r="B40" s="97"/>
      <c r="C40" s="97"/>
      <c r="D40" s="98"/>
      <c r="E40" s="99"/>
      <c r="F40" s="98"/>
      <c r="G40" s="98"/>
      <c r="H40" s="98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97"/>
      <c r="B41" s="97"/>
      <c r="C41" s="97"/>
      <c r="D41" s="98"/>
      <c r="E41" s="99"/>
      <c r="F41" s="98"/>
      <c r="G41" s="98"/>
      <c r="H41" s="98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97"/>
      <c r="B42" s="97"/>
      <c r="C42" s="97"/>
      <c r="D42" s="98"/>
      <c r="E42" s="99"/>
      <c r="F42" s="98"/>
      <c r="G42" s="98"/>
      <c r="H42" s="98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97"/>
      <c r="B43" s="97"/>
      <c r="C43" s="97"/>
      <c r="D43" s="98"/>
      <c r="E43" s="99"/>
      <c r="F43" s="98"/>
      <c r="G43" s="98"/>
      <c r="H43" s="98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97"/>
      <c r="B44" s="97"/>
      <c r="C44" s="97"/>
      <c r="D44" s="98"/>
      <c r="E44" s="99"/>
      <c r="F44" s="98"/>
      <c r="G44" s="98"/>
      <c r="H44" s="98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97"/>
      <c r="B45" s="97"/>
      <c r="C45" s="97"/>
      <c r="D45" s="98"/>
      <c r="E45" s="99"/>
      <c r="F45" s="98"/>
      <c r="G45" s="98"/>
      <c r="H45" s="98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97"/>
      <c r="B46" s="97"/>
      <c r="C46" s="97"/>
      <c r="D46" s="98"/>
      <c r="E46" s="99"/>
      <c r="F46" s="98"/>
      <c r="G46" s="98"/>
      <c r="H46" s="98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97"/>
      <c r="B47" s="97"/>
      <c r="C47" s="97"/>
      <c r="D47" s="98"/>
      <c r="E47" s="99"/>
      <c r="F47" s="98"/>
      <c r="G47" s="98"/>
      <c r="H47" s="98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97"/>
      <c r="B48" s="97"/>
      <c r="C48" s="97"/>
      <c r="D48" s="98"/>
      <c r="E48" s="99"/>
      <c r="F48" s="98"/>
      <c r="G48" s="98"/>
      <c r="H48" s="98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97"/>
      <c r="B49" s="97"/>
      <c r="C49" s="97"/>
      <c r="D49" s="98"/>
      <c r="E49" s="99"/>
      <c r="F49" s="98"/>
      <c r="G49" s="98"/>
      <c r="H49" s="98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97"/>
      <c r="B50" s="97"/>
      <c r="C50" s="97"/>
      <c r="D50" s="98"/>
      <c r="E50" s="99"/>
      <c r="F50" s="98"/>
      <c r="G50" s="98"/>
      <c r="H50" s="98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97"/>
      <c r="B51" s="97"/>
      <c r="C51" s="97"/>
      <c r="D51" s="98"/>
      <c r="E51" s="99"/>
      <c r="F51" s="98"/>
      <c r="G51" s="98"/>
      <c r="H51" s="98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97"/>
      <c r="B52" s="97"/>
      <c r="C52" s="97"/>
      <c r="D52" s="98"/>
      <c r="E52" s="99"/>
      <c r="F52" s="98"/>
      <c r="G52" s="98"/>
      <c r="H52" s="98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97"/>
      <c r="B53" s="97"/>
      <c r="C53" s="97"/>
      <c r="D53" s="98"/>
      <c r="E53" s="99"/>
      <c r="F53" s="98"/>
      <c r="G53" s="98"/>
      <c r="H53" s="98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97"/>
      <c r="B54" s="97"/>
      <c r="C54" s="97"/>
      <c r="D54" s="98"/>
      <c r="E54" s="99"/>
      <c r="F54" s="98"/>
      <c r="G54" s="98"/>
      <c r="H54" s="98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97"/>
      <c r="B55" s="97"/>
      <c r="C55" s="97"/>
      <c r="D55" s="98"/>
      <c r="E55" s="99"/>
      <c r="F55" s="98"/>
      <c r="G55" s="98"/>
      <c r="H55" s="98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97"/>
      <c r="B56" s="97"/>
      <c r="C56" s="97"/>
      <c r="D56" s="98"/>
      <c r="E56" s="99"/>
      <c r="F56" s="98"/>
      <c r="G56" s="98"/>
      <c r="H56" s="98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97"/>
      <c r="B57" s="97"/>
      <c r="C57" s="97"/>
      <c r="D57" s="98"/>
      <c r="E57" s="99"/>
      <c r="F57" s="98"/>
      <c r="G57" s="98"/>
      <c r="H57" s="98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97"/>
      <c r="B58" s="97"/>
      <c r="C58" s="97"/>
      <c r="D58" s="98"/>
      <c r="E58" s="99"/>
      <c r="F58" s="98"/>
      <c r="G58" s="98"/>
      <c r="H58" s="98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97"/>
      <c r="B59" s="97"/>
      <c r="C59" s="97"/>
      <c r="D59" s="98"/>
      <c r="E59" s="99"/>
      <c r="F59" s="98"/>
      <c r="G59" s="98"/>
      <c r="H59" s="98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97"/>
      <c r="B60" s="97"/>
      <c r="C60" s="97"/>
      <c r="D60" s="98"/>
      <c r="E60" s="99"/>
      <c r="F60" s="98"/>
      <c r="G60" s="98"/>
      <c r="H60" s="98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97"/>
      <c r="B61" s="97"/>
      <c r="C61" s="97"/>
      <c r="D61" s="98"/>
      <c r="E61" s="99"/>
      <c r="F61" s="98"/>
      <c r="G61" s="98"/>
      <c r="H61" s="98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97"/>
      <c r="B62" s="97"/>
      <c r="C62" s="97"/>
      <c r="D62" s="98"/>
      <c r="E62" s="99"/>
      <c r="F62" s="98"/>
      <c r="G62" s="98"/>
      <c r="H62" s="98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97"/>
      <c r="B63" s="97"/>
      <c r="C63" s="97"/>
      <c r="D63" s="98"/>
      <c r="E63" s="99"/>
      <c r="F63" s="98"/>
      <c r="G63" s="98"/>
      <c r="H63" s="98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97"/>
      <c r="B64" s="97"/>
      <c r="C64" s="97"/>
      <c r="D64" s="98"/>
      <c r="E64" s="99"/>
      <c r="F64" s="98"/>
      <c r="G64" s="98"/>
      <c r="H64" s="98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97"/>
      <c r="B65" s="97"/>
      <c r="C65" s="97"/>
      <c r="D65" s="98"/>
      <c r="E65" s="99"/>
      <c r="F65" s="98"/>
      <c r="G65" s="98"/>
      <c r="H65" s="98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97"/>
      <c r="B66" s="97"/>
      <c r="C66" s="97"/>
      <c r="D66" s="98"/>
      <c r="E66" s="99"/>
      <c r="F66" s="98"/>
      <c r="G66" s="98"/>
      <c r="H66" s="98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97"/>
      <c r="B67" s="97"/>
      <c r="C67" s="97"/>
      <c r="D67" s="98"/>
      <c r="E67" s="99"/>
      <c r="F67" s="98"/>
      <c r="G67" s="98"/>
      <c r="H67" s="98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97"/>
      <c r="B68" s="97"/>
      <c r="C68" s="97"/>
      <c r="D68" s="98"/>
      <c r="E68" s="99"/>
      <c r="F68" s="98"/>
      <c r="G68" s="98"/>
      <c r="H68" s="98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97"/>
      <c r="B69" s="97"/>
      <c r="C69" s="97"/>
      <c r="D69" s="98"/>
      <c r="E69" s="99"/>
      <c r="F69" s="98"/>
      <c r="G69" s="98"/>
      <c r="H69" s="98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97"/>
      <c r="B70" s="97"/>
      <c r="C70" s="97"/>
      <c r="D70" s="98"/>
      <c r="E70" s="99"/>
      <c r="F70" s="98"/>
      <c r="G70" s="98"/>
      <c r="H70" s="98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97"/>
      <c r="B71" s="97"/>
      <c r="C71" s="97"/>
      <c r="D71" s="98"/>
      <c r="E71" s="99"/>
      <c r="F71" s="98"/>
      <c r="G71" s="98"/>
      <c r="H71" s="98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97"/>
      <c r="B72" s="97"/>
      <c r="C72" s="97"/>
      <c r="D72" s="98"/>
      <c r="E72" s="99"/>
      <c r="F72" s="98"/>
      <c r="G72" s="98"/>
      <c r="H72" s="98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97"/>
      <c r="B73" s="97"/>
      <c r="C73" s="97"/>
      <c r="D73" s="98"/>
      <c r="E73" s="99"/>
      <c r="F73" s="98"/>
      <c r="G73" s="98"/>
      <c r="H73" s="98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97"/>
      <c r="B74" s="97"/>
      <c r="C74" s="97"/>
      <c r="D74" s="98"/>
      <c r="E74" s="99"/>
      <c r="F74" s="98"/>
      <c r="G74" s="98"/>
      <c r="H74" s="98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97"/>
      <c r="B75" s="97"/>
      <c r="C75" s="97"/>
      <c r="D75" s="98"/>
      <c r="E75" s="99"/>
      <c r="F75" s="98"/>
      <c r="G75" s="98"/>
      <c r="H75" s="98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97"/>
      <c r="B76" s="97"/>
      <c r="C76" s="97"/>
      <c r="D76" s="98"/>
      <c r="E76" s="99"/>
      <c r="F76" s="98"/>
      <c r="G76" s="98"/>
      <c r="H76" s="98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97"/>
      <c r="B77" s="97"/>
      <c r="C77" s="97"/>
      <c r="D77" s="98"/>
      <c r="E77" s="99"/>
      <c r="F77" s="98"/>
      <c r="G77" s="98"/>
      <c r="H77" s="98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97"/>
      <c r="B78" s="97"/>
      <c r="C78" s="97"/>
      <c r="D78" s="98"/>
      <c r="E78" s="99"/>
      <c r="F78" s="98"/>
      <c r="G78" s="98"/>
      <c r="H78" s="98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97"/>
      <c r="B79" s="97"/>
      <c r="C79" s="97"/>
      <c r="D79" s="98"/>
      <c r="E79" s="99"/>
      <c r="F79" s="98"/>
      <c r="G79" s="98"/>
      <c r="H79" s="98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97"/>
      <c r="B80" s="97"/>
      <c r="C80" s="97"/>
      <c r="D80" s="98"/>
      <c r="E80" s="99"/>
      <c r="F80" s="98"/>
      <c r="G80" s="98"/>
      <c r="H80" s="98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97"/>
      <c r="B81" s="97"/>
      <c r="C81" s="97"/>
      <c r="D81" s="98"/>
      <c r="E81" s="99"/>
      <c r="F81" s="98"/>
      <c r="G81" s="98"/>
      <c r="H81" s="98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97"/>
      <c r="B82" s="97"/>
      <c r="C82" s="97"/>
      <c r="D82" s="98"/>
      <c r="E82" s="99"/>
      <c r="F82" s="98"/>
      <c r="G82" s="98"/>
      <c r="H82" s="98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97"/>
      <c r="B83" s="97"/>
      <c r="C83" s="97"/>
      <c r="D83" s="98"/>
      <c r="E83" s="99"/>
      <c r="F83" s="98"/>
      <c r="G83" s="98"/>
      <c r="H83" s="98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97"/>
      <c r="B84" s="97"/>
      <c r="C84" s="97"/>
      <c r="D84" s="98"/>
      <c r="E84" s="99"/>
      <c r="F84" s="98"/>
      <c r="G84" s="98"/>
      <c r="H84" s="98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97"/>
      <c r="B85" s="97"/>
      <c r="C85" s="97"/>
      <c r="D85" s="98"/>
      <c r="E85" s="99"/>
      <c r="F85" s="98"/>
      <c r="G85" s="98"/>
      <c r="H85" s="98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97"/>
      <c r="B86" s="97"/>
      <c r="C86" s="97"/>
      <c r="D86" s="98"/>
      <c r="E86" s="99"/>
      <c r="F86" s="98"/>
      <c r="G86" s="98"/>
      <c r="H86" s="98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97"/>
      <c r="B87" s="97"/>
      <c r="C87" s="97"/>
      <c r="D87" s="98"/>
      <c r="E87" s="99"/>
      <c r="F87" s="98"/>
      <c r="G87" s="98"/>
      <c r="H87" s="98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97"/>
      <c r="B88" s="97"/>
      <c r="C88" s="97"/>
      <c r="D88" s="98"/>
      <c r="E88" s="99"/>
      <c r="F88" s="98"/>
      <c r="G88" s="98"/>
      <c r="H88" s="98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97"/>
      <c r="B89" s="97"/>
      <c r="C89" s="97"/>
      <c r="D89" s="98"/>
      <c r="E89" s="99"/>
      <c r="F89" s="98"/>
      <c r="G89" s="98"/>
      <c r="H89" s="98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>
      <c r="A90" s="97"/>
      <c r="B90" s="97"/>
      <c r="C90" s="97"/>
      <c r="D90" s="98"/>
      <c r="E90" s="99"/>
      <c r="F90" s="98"/>
      <c r="G90" s="98"/>
      <c r="H90" s="98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97"/>
      <c r="B91" s="97"/>
      <c r="C91" s="97"/>
      <c r="D91" s="98"/>
      <c r="E91" s="99"/>
      <c r="F91" s="98"/>
      <c r="G91" s="98"/>
      <c r="H91" s="98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97"/>
      <c r="B92" s="97"/>
      <c r="C92" s="97"/>
      <c r="D92" s="98"/>
      <c r="E92" s="99"/>
      <c r="F92" s="98"/>
      <c r="G92" s="98"/>
      <c r="H92" s="98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97"/>
      <c r="B93" s="97"/>
      <c r="C93" s="97"/>
      <c r="D93" s="98"/>
      <c r="E93" s="99"/>
      <c r="F93" s="98"/>
      <c r="G93" s="98"/>
      <c r="H93" s="98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97"/>
      <c r="B94" s="97"/>
      <c r="C94" s="97"/>
      <c r="D94" s="98"/>
      <c r="E94" s="99"/>
      <c r="F94" s="98"/>
      <c r="G94" s="98"/>
      <c r="H94" s="98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97"/>
      <c r="B95" s="97"/>
      <c r="C95" s="97"/>
      <c r="D95" s="98"/>
      <c r="E95" s="99"/>
      <c r="F95" s="98"/>
      <c r="G95" s="98"/>
      <c r="H95" s="98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97"/>
      <c r="B96" s="97"/>
      <c r="C96" s="97"/>
      <c r="D96" s="98"/>
      <c r="E96" s="99"/>
      <c r="F96" s="98"/>
      <c r="G96" s="98"/>
      <c r="H96" s="98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97"/>
      <c r="B97" s="97"/>
      <c r="C97" s="97"/>
      <c r="D97" s="98"/>
      <c r="E97" s="99"/>
      <c r="F97" s="98"/>
      <c r="G97" s="98"/>
      <c r="H97" s="98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97"/>
      <c r="B98" s="97"/>
      <c r="C98" s="97"/>
      <c r="D98" s="98"/>
      <c r="E98" s="99"/>
      <c r="F98" s="98"/>
      <c r="G98" s="98"/>
      <c r="H98" s="98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97"/>
      <c r="B99" s="97"/>
      <c r="C99" s="97"/>
      <c r="D99" s="98"/>
      <c r="E99" s="99"/>
      <c r="F99" s="98"/>
      <c r="G99" s="98"/>
      <c r="H99" s="98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97"/>
      <c r="B100" s="97"/>
      <c r="C100" s="97"/>
      <c r="D100" s="98"/>
      <c r="E100" s="99"/>
      <c r="F100" s="98"/>
      <c r="G100" s="98"/>
      <c r="H100" s="98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97"/>
      <c r="B101" s="97"/>
      <c r="C101" s="97"/>
      <c r="D101" s="98"/>
      <c r="E101" s="99"/>
      <c r="F101" s="98"/>
      <c r="G101" s="98"/>
      <c r="H101" s="98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97"/>
      <c r="B102" s="97"/>
      <c r="C102" s="97"/>
      <c r="D102" s="98"/>
      <c r="E102" s="99"/>
      <c r="F102" s="98"/>
      <c r="G102" s="98"/>
      <c r="H102" s="98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97"/>
      <c r="B103" s="97"/>
      <c r="C103" s="97"/>
      <c r="D103" s="98"/>
      <c r="E103" s="99"/>
      <c r="F103" s="98"/>
      <c r="G103" s="98"/>
      <c r="H103" s="98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97"/>
      <c r="B104" s="97"/>
      <c r="C104" s="97"/>
      <c r="D104" s="98"/>
      <c r="E104" s="99"/>
      <c r="F104" s="98"/>
      <c r="G104" s="98"/>
      <c r="H104" s="98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97"/>
      <c r="B105" s="97"/>
      <c r="C105" s="97"/>
      <c r="D105" s="98"/>
      <c r="E105" s="99"/>
      <c r="F105" s="98"/>
      <c r="G105" s="98"/>
      <c r="H105" s="98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97"/>
      <c r="B106" s="97"/>
      <c r="C106" s="97"/>
      <c r="D106" s="98"/>
      <c r="E106" s="99"/>
      <c r="F106" s="98"/>
      <c r="G106" s="98"/>
      <c r="H106" s="98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97"/>
      <c r="B107" s="97"/>
      <c r="C107" s="97"/>
      <c r="D107" s="98"/>
      <c r="E107" s="99"/>
      <c r="F107" s="98"/>
      <c r="G107" s="98"/>
      <c r="H107" s="98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97"/>
      <c r="B108" s="97"/>
      <c r="C108" s="97"/>
      <c r="D108" s="98"/>
      <c r="E108" s="99"/>
      <c r="F108" s="98"/>
      <c r="G108" s="98"/>
      <c r="H108" s="98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97"/>
      <c r="B109" s="97"/>
      <c r="C109" s="97"/>
      <c r="D109" s="98"/>
      <c r="E109" s="99"/>
      <c r="F109" s="98"/>
      <c r="G109" s="98"/>
      <c r="H109" s="98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97"/>
      <c r="B110" s="97"/>
      <c r="C110" s="97"/>
      <c r="D110" s="98"/>
      <c r="E110" s="99"/>
      <c r="F110" s="98"/>
      <c r="G110" s="98"/>
      <c r="H110" s="98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97"/>
      <c r="B111" s="97"/>
      <c r="C111" s="97"/>
      <c r="D111" s="98"/>
      <c r="E111" s="99"/>
      <c r="F111" s="98"/>
      <c r="G111" s="98"/>
      <c r="H111" s="98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>
      <c r="A112" s="97"/>
      <c r="B112" s="97"/>
      <c r="C112" s="97"/>
      <c r="D112" s="98"/>
      <c r="E112" s="99"/>
      <c r="F112" s="98"/>
      <c r="G112" s="98"/>
      <c r="H112" s="98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97"/>
      <c r="B113" s="97"/>
      <c r="C113" s="97"/>
      <c r="D113" s="98"/>
      <c r="E113" s="99"/>
      <c r="F113" s="98"/>
      <c r="G113" s="98"/>
      <c r="H113" s="98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97"/>
      <c r="B114" s="97"/>
      <c r="C114" s="97"/>
      <c r="D114" s="98"/>
      <c r="E114" s="99"/>
      <c r="F114" s="98"/>
      <c r="G114" s="98"/>
      <c r="H114" s="98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97"/>
      <c r="B115" s="97"/>
      <c r="C115" s="97"/>
      <c r="D115" s="98"/>
      <c r="E115" s="99"/>
      <c r="F115" s="98"/>
      <c r="G115" s="98"/>
      <c r="H115" s="98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97"/>
      <c r="B116" s="97"/>
      <c r="C116" s="97"/>
      <c r="D116" s="98"/>
      <c r="E116" s="99"/>
      <c r="F116" s="98"/>
      <c r="G116" s="98"/>
      <c r="H116" s="98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97"/>
      <c r="B117" s="97"/>
      <c r="C117" s="97"/>
      <c r="D117" s="98"/>
      <c r="E117" s="99"/>
      <c r="F117" s="98"/>
      <c r="G117" s="98"/>
      <c r="H117" s="98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97"/>
      <c r="B118" s="97"/>
      <c r="C118" s="97"/>
      <c r="D118" s="98"/>
      <c r="E118" s="99"/>
      <c r="F118" s="98"/>
      <c r="G118" s="98"/>
      <c r="H118" s="98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97"/>
      <c r="B119" s="97"/>
      <c r="C119" s="97"/>
      <c r="D119" s="98"/>
      <c r="E119" s="99"/>
      <c r="F119" s="98"/>
      <c r="G119" s="98"/>
      <c r="H119" s="98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97"/>
      <c r="B120" s="97"/>
      <c r="C120" s="97"/>
      <c r="D120" s="98"/>
      <c r="E120" s="99"/>
      <c r="F120" s="98"/>
      <c r="G120" s="98"/>
      <c r="H120" s="98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97"/>
      <c r="B121" s="97"/>
      <c r="C121" s="97"/>
      <c r="D121" s="98"/>
      <c r="E121" s="99"/>
      <c r="F121" s="98"/>
      <c r="G121" s="98"/>
      <c r="H121" s="98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97"/>
      <c r="B122" s="97"/>
      <c r="C122" s="97"/>
      <c r="D122" s="98"/>
      <c r="E122" s="99"/>
      <c r="F122" s="98"/>
      <c r="G122" s="98"/>
      <c r="H122" s="98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97"/>
      <c r="B123" s="97"/>
      <c r="C123" s="97"/>
      <c r="D123" s="98"/>
      <c r="E123" s="99"/>
      <c r="F123" s="98"/>
      <c r="G123" s="98"/>
      <c r="H123" s="98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97"/>
      <c r="B124" s="97"/>
      <c r="C124" s="97"/>
      <c r="D124" s="98"/>
      <c r="E124" s="99"/>
      <c r="F124" s="98"/>
      <c r="G124" s="98"/>
      <c r="H124" s="98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97"/>
      <c r="B125" s="97"/>
      <c r="C125" s="97"/>
      <c r="D125" s="98"/>
      <c r="E125" s="99"/>
      <c r="F125" s="98"/>
      <c r="G125" s="98"/>
      <c r="H125" s="98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97"/>
      <c r="B126" s="97"/>
      <c r="C126" s="97"/>
      <c r="D126" s="98"/>
      <c r="E126" s="99"/>
      <c r="F126" s="98"/>
      <c r="G126" s="98"/>
      <c r="H126" s="98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97"/>
      <c r="B127" s="97"/>
      <c r="C127" s="97"/>
      <c r="D127" s="98"/>
      <c r="E127" s="99"/>
      <c r="F127" s="98"/>
      <c r="G127" s="98"/>
      <c r="H127" s="98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97"/>
      <c r="B128" s="97"/>
      <c r="C128" s="97"/>
      <c r="D128" s="98"/>
      <c r="E128" s="99"/>
      <c r="F128" s="98"/>
      <c r="G128" s="98"/>
      <c r="H128" s="98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97"/>
      <c r="B129" s="97"/>
      <c r="C129" s="97"/>
      <c r="D129" s="98"/>
      <c r="E129" s="99"/>
      <c r="F129" s="98"/>
      <c r="G129" s="98"/>
      <c r="H129" s="98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97"/>
      <c r="B130" s="97"/>
      <c r="C130" s="97"/>
      <c r="D130" s="98"/>
      <c r="E130" s="99"/>
      <c r="F130" s="98"/>
      <c r="G130" s="98"/>
      <c r="H130" s="98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97"/>
      <c r="B131" s="97"/>
      <c r="C131" s="97"/>
      <c r="D131" s="98"/>
      <c r="E131" s="99"/>
      <c r="F131" s="98"/>
      <c r="G131" s="98"/>
      <c r="H131" s="98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97"/>
      <c r="B132" s="97"/>
      <c r="C132" s="97"/>
      <c r="D132" s="98"/>
      <c r="E132" s="99"/>
      <c r="F132" s="98"/>
      <c r="G132" s="98"/>
      <c r="H132" s="98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97"/>
      <c r="B133" s="97"/>
      <c r="C133" s="97"/>
      <c r="D133" s="98"/>
      <c r="E133" s="99"/>
      <c r="F133" s="98"/>
      <c r="G133" s="98"/>
      <c r="H133" s="98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97"/>
      <c r="B134" s="97"/>
      <c r="C134" s="97"/>
      <c r="D134" s="98"/>
      <c r="E134" s="99"/>
      <c r="F134" s="98"/>
      <c r="G134" s="98"/>
      <c r="H134" s="98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97"/>
      <c r="B135" s="97"/>
      <c r="C135" s="97"/>
      <c r="D135" s="98"/>
      <c r="E135" s="99"/>
      <c r="F135" s="98"/>
      <c r="G135" s="98"/>
      <c r="H135" s="98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97"/>
      <c r="B136" s="97"/>
      <c r="C136" s="97"/>
      <c r="D136" s="98"/>
      <c r="E136" s="99"/>
      <c r="F136" s="98"/>
      <c r="G136" s="98"/>
      <c r="H136" s="98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97"/>
      <c r="B137" s="97"/>
      <c r="C137" s="97"/>
      <c r="D137" s="98"/>
      <c r="E137" s="99"/>
      <c r="F137" s="98"/>
      <c r="G137" s="98"/>
      <c r="H137" s="98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97"/>
      <c r="B138" s="97"/>
      <c r="C138" s="97"/>
      <c r="D138" s="98"/>
      <c r="E138" s="99"/>
      <c r="F138" s="98"/>
      <c r="G138" s="98"/>
      <c r="H138" s="98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97"/>
      <c r="B139" s="97"/>
      <c r="C139" s="97"/>
      <c r="D139" s="98"/>
      <c r="E139" s="99"/>
      <c r="F139" s="98"/>
      <c r="G139" s="98"/>
      <c r="H139" s="98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97"/>
      <c r="B140" s="97"/>
      <c r="C140" s="97"/>
      <c r="D140" s="98"/>
      <c r="E140" s="99"/>
      <c r="F140" s="98"/>
      <c r="G140" s="98"/>
      <c r="H140" s="98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97"/>
      <c r="B141" s="97"/>
      <c r="C141" s="97"/>
      <c r="D141" s="98"/>
      <c r="E141" s="99"/>
      <c r="F141" s="98"/>
      <c r="G141" s="98"/>
      <c r="H141" s="98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97"/>
      <c r="B142" s="97"/>
      <c r="C142" s="97"/>
      <c r="D142" s="98"/>
      <c r="E142" s="99"/>
      <c r="F142" s="98"/>
      <c r="G142" s="98"/>
      <c r="H142" s="98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97"/>
      <c r="B143" s="97"/>
      <c r="C143" s="97"/>
      <c r="D143" s="98"/>
      <c r="E143" s="99"/>
      <c r="F143" s="98"/>
      <c r="G143" s="98"/>
      <c r="H143" s="98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97"/>
      <c r="B144" s="97"/>
      <c r="C144" s="97"/>
      <c r="D144" s="98"/>
      <c r="E144" s="99"/>
      <c r="F144" s="98"/>
      <c r="G144" s="98"/>
      <c r="H144" s="98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97"/>
      <c r="B145" s="97"/>
      <c r="C145" s="97"/>
      <c r="D145" s="98"/>
      <c r="E145" s="99"/>
      <c r="F145" s="98"/>
      <c r="G145" s="98"/>
      <c r="H145" s="98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97"/>
      <c r="B146" s="97"/>
      <c r="C146" s="97"/>
      <c r="D146" s="98"/>
      <c r="E146" s="99"/>
      <c r="F146" s="98"/>
      <c r="G146" s="98"/>
      <c r="H146" s="98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97"/>
      <c r="B147" s="97"/>
      <c r="C147" s="97"/>
      <c r="D147" s="98"/>
      <c r="E147" s="99"/>
      <c r="F147" s="98"/>
      <c r="G147" s="98"/>
      <c r="H147" s="98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97"/>
      <c r="B148" s="97"/>
      <c r="C148" s="97"/>
      <c r="D148" s="98"/>
      <c r="E148" s="99"/>
      <c r="F148" s="98"/>
      <c r="G148" s="98"/>
      <c r="H148" s="98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97"/>
      <c r="B149" s="97"/>
      <c r="C149" s="97"/>
      <c r="D149" s="98"/>
      <c r="E149" s="99"/>
      <c r="F149" s="98"/>
      <c r="G149" s="98"/>
      <c r="H149" s="98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97"/>
      <c r="B150" s="97"/>
      <c r="C150" s="97"/>
      <c r="D150" s="98"/>
      <c r="E150" s="99"/>
      <c r="F150" s="98"/>
      <c r="G150" s="98"/>
      <c r="H150" s="98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97"/>
      <c r="B151" s="97"/>
      <c r="C151" s="97"/>
      <c r="D151" s="98"/>
      <c r="E151" s="99"/>
      <c r="F151" s="98"/>
      <c r="G151" s="98"/>
      <c r="H151" s="98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97"/>
      <c r="B152" s="97"/>
      <c r="C152" s="97"/>
      <c r="D152" s="98"/>
      <c r="E152" s="99"/>
      <c r="F152" s="98"/>
      <c r="G152" s="98"/>
      <c r="H152" s="98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97"/>
      <c r="B153" s="97"/>
      <c r="C153" s="97"/>
      <c r="D153" s="98"/>
      <c r="E153" s="99"/>
      <c r="F153" s="98"/>
      <c r="G153" s="98"/>
      <c r="H153" s="98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97"/>
      <c r="B154" s="97"/>
      <c r="C154" s="97"/>
      <c r="D154" s="98"/>
      <c r="E154" s="99"/>
      <c r="F154" s="98"/>
      <c r="G154" s="98"/>
      <c r="H154" s="98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97"/>
      <c r="B155" s="97"/>
      <c r="C155" s="97"/>
      <c r="D155" s="98"/>
      <c r="E155" s="99"/>
      <c r="F155" s="98"/>
      <c r="G155" s="98"/>
      <c r="H155" s="98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97"/>
      <c r="B156" s="97"/>
      <c r="C156" s="97"/>
      <c r="D156" s="98"/>
      <c r="E156" s="99"/>
      <c r="F156" s="98"/>
      <c r="G156" s="98"/>
      <c r="H156" s="98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97"/>
      <c r="B157" s="97"/>
      <c r="C157" s="97"/>
      <c r="D157" s="98"/>
      <c r="E157" s="99"/>
      <c r="F157" s="98"/>
      <c r="G157" s="98"/>
      <c r="H157" s="98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97"/>
      <c r="B158" s="97"/>
      <c r="C158" s="97"/>
      <c r="D158" s="98"/>
      <c r="E158" s="99"/>
      <c r="F158" s="98"/>
      <c r="G158" s="98"/>
      <c r="H158" s="98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97"/>
      <c r="B159" s="97"/>
      <c r="C159" s="97"/>
      <c r="D159" s="98"/>
      <c r="E159" s="99"/>
      <c r="F159" s="98"/>
      <c r="G159" s="98"/>
      <c r="H159" s="98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97"/>
      <c r="B160" s="97"/>
      <c r="C160" s="97"/>
      <c r="D160" s="98"/>
      <c r="E160" s="99"/>
      <c r="F160" s="98"/>
      <c r="G160" s="98"/>
      <c r="H160" s="98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97"/>
      <c r="B161" s="97"/>
      <c r="C161" s="97"/>
      <c r="D161" s="98"/>
      <c r="E161" s="99"/>
      <c r="F161" s="98"/>
      <c r="G161" s="98"/>
      <c r="H161" s="98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97"/>
      <c r="B162" s="97"/>
      <c r="C162" s="97"/>
      <c r="D162" s="98"/>
      <c r="E162" s="99"/>
      <c r="F162" s="98"/>
      <c r="G162" s="98"/>
      <c r="H162" s="98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97"/>
      <c r="B163" s="97"/>
      <c r="C163" s="97"/>
      <c r="D163" s="98"/>
      <c r="E163" s="99"/>
      <c r="F163" s="98"/>
      <c r="G163" s="98"/>
      <c r="H163" s="98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97"/>
      <c r="B164" s="97"/>
      <c r="C164" s="97"/>
      <c r="D164" s="98"/>
      <c r="E164" s="99"/>
      <c r="F164" s="98"/>
      <c r="G164" s="98"/>
      <c r="H164" s="98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97"/>
      <c r="B165" s="97"/>
      <c r="C165" s="97"/>
      <c r="D165" s="98"/>
      <c r="E165" s="99"/>
      <c r="F165" s="98"/>
      <c r="G165" s="98"/>
      <c r="H165" s="98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97"/>
      <c r="B166" s="97"/>
      <c r="C166" s="97"/>
      <c r="D166" s="98"/>
      <c r="E166" s="99"/>
      <c r="F166" s="98"/>
      <c r="G166" s="98"/>
      <c r="H166" s="98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97"/>
      <c r="B167" s="97"/>
      <c r="C167" s="97"/>
      <c r="D167" s="98"/>
      <c r="E167" s="99"/>
      <c r="F167" s="98"/>
      <c r="G167" s="98"/>
      <c r="H167" s="98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97"/>
      <c r="B168" s="97"/>
      <c r="C168" s="97"/>
      <c r="D168" s="98"/>
      <c r="E168" s="99"/>
      <c r="F168" s="98"/>
      <c r="G168" s="98"/>
      <c r="H168" s="98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97"/>
      <c r="B169" s="97"/>
      <c r="C169" s="97"/>
      <c r="D169" s="98"/>
      <c r="E169" s="99"/>
      <c r="F169" s="98"/>
      <c r="G169" s="98"/>
      <c r="H169" s="98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97"/>
      <c r="B170" s="97"/>
      <c r="C170" s="97"/>
      <c r="D170" s="98"/>
      <c r="E170" s="99"/>
      <c r="F170" s="98"/>
      <c r="G170" s="98"/>
      <c r="H170" s="98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97"/>
      <c r="B171" s="97"/>
      <c r="C171" s="97"/>
      <c r="D171" s="98"/>
      <c r="E171" s="99"/>
      <c r="F171" s="98"/>
      <c r="G171" s="98"/>
      <c r="H171" s="98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97"/>
      <c r="B172" s="97"/>
      <c r="C172" s="97"/>
      <c r="D172" s="98"/>
      <c r="E172" s="99"/>
      <c r="F172" s="98"/>
      <c r="G172" s="98"/>
      <c r="H172" s="98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97"/>
      <c r="B173" s="97"/>
      <c r="C173" s="97"/>
      <c r="D173" s="98"/>
      <c r="E173" s="99"/>
      <c r="F173" s="98"/>
      <c r="G173" s="98"/>
      <c r="H173" s="98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97"/>
      <c r="B174" s="97"/>
      <c r="C174" s="97"/>
      <c r="D174" s="98"/>
      <c r="E174" s="99"/>
      <c r="F174" s="98"/>
      <c r="G174" s="98"/>
      <c r="H174" s="98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97"/>
      <c r="B175" s="97"/>
      <c r="C175" s="97"/>
      <c r="D175" s="98"/>
      <c r="E175" s="99"/>
      <c r="F175" s="98"/>
      <c r="G175" s="98"/>
      <c r="H175" s="98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97"/>
      <c r="B176" s="97"/>
      <c r="C176" s="97"/>
      <c r="D176" s="98"/>
      <c r="E176" s="99"/>
      <c r="F176" s="98"/>
      <c r="G176" s="98"/>
      <c r="H176" s="98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97"/>
      <c r="B177" s="97"/>
      <c r="C177" s="97"/>
      <c r="D177" s="98"/>
      <c r="E177" s="99"/>
      <c r="F177" s="98"/>
      <c r="G177" s="98"/>
      <c r="H177" s="98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97"/>
      <c r="B178" s="97"/>
      <c r="C178" s="97"/>
      <c r="D178" s="98"/>
      <c r="E178" s="99"/>
      <c r="F178" s="98"/>
      <c r="G178" s="98"/>
      <c r="H178" s="98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97"/>
      <c r="B179" s="97"/>
      <c r="C179" s="97"/>
      <c r="D179" s="98"/>
      <c r="E179" s="99"/>
      <c r="F179" s="98"/>
      <c r="G179" s="98"/>
      <c r="H179" s="98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97"/>
      <c r="B180" s="97"/>
      <c r="C180" s="97"/>
      <c r="D180" s="98"/>
      <c r="E180" s="99"/>
      <c r="F180" s="98"/>
      <c r="G180" s="98"/>
      <c r="H180" s="98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97"/>
      <c r="B181" s="97"/>
      <c r="C181" s="97"/>
      <c r="D181" s="98"/>
      <c r="E181" s="99"/>
      <c r="F181" s="98"/>
      <c r="G181" s="98"/>
      <c r="H181" s="98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97"/>
      <c r="B182" s="97"/>
      <c r="C182" s="97"/>
      <c r="D182" s="98"/>
      <c r="E182" s="99"/>
      <c r="F182" s="98"/>
      <c r="G182" s="98"/>
      <c r="H182" s="98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97"/>
      <c r="B183" s="97"/>
      <c r="C183" s="97"/>
      <c r="D183" s="98"/>
      <c r="E183" s="99"/>
      <c r="F183" s="98"/>
      <c r="G183" s="98"/>
      <c r="H183" s="98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97"/>
      <c r="B184" s="97"/>
      <c r="C184" s="97"/>
      <c r="D184" s="98"/>
      <c r="E184" s="99"/>
      <c r="F184" s="98"/>
      <c r="G184" s="98"/>
      <c r="H184" s="98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97"/>
      <c r="B185" s="97"/>
      <c r="C185" s="97"/>
      <c r="D185" s="98"/>
      <c r="E185" s="99"/>
      <c r="F185" s="98"/>
      <c r="G185" s="98"/>
      <c r="H185" s="98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97"/>
      <c r="B186" s="97"/>
      <c r="C186" s="97"/>
      <c r="D186" s="98"/>
      <c r="E186" s="99"/>
      <c r="F186" s="98"/>
      <c r="G186" s="98"/>
      <c r="H186" s="98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97"/>
      <c r="B187" s="97"/>
      <c r="C187" s="97"/>
      <c r="D187" s="98"/>
      <c r="E187" s="99"/>
      <c r="F187" s="98"/>
      <c r="G187" s="98"/>
      <c r="H187" s="98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97"/>
      <c r="B188" s="97"/>
      <c r="C188" s="97"/>
      <c r="D188" s="98"/>
      <c r="E188" s="99"/>
      <c r="F188" s="98"/>
      <c r="G188" s="98"/>
      <c r="H188" s="98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97"/>
      <c r="B189" s="97"/>
      <c r="C189" s="97"/>
      <c r="D189" s="98"/>
      <c r="E189" s="99"/>
      <c r="F189" s="98"/>
      <c r="G189" s="98"/>
      <c r="H189" s="98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97"/>
      <c r="B190" s="97"/>
      <c r="C190" s="97"/>
      <c r="D190" s="98"/>
      <c r="E190" s="99"/>
      <c r="F190" s="98"/>
      <c r="G190" s="98"/>
      <c r="H190" s="98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97"/>
      <c r="B191" s="97"/>
      <c r="C191" s="97"/>
      <c r="D191" s="98"/>
      <c r="E191" s="99"/>
      <c r="F191" s="98"/>
      <c r="G191" s="98"/>
      <c r="H191" s="98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97"/>
      <c r="B192" s="97"/>
      <c r="C192" s="97"/>
      <c r="D192" s="98"/>
      <c r="E192" s="99"/>
      <c r="F192" s="98"/>
      <c r="G192" s="98"/>
      <c r="H192" s="98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97"/>
      <c r="B193" s="97"/>
      <c r="C193" s="97"/>
      <c r="D193" s="98"/>
      <c r="E193" s="99"/>
      <c r="F193" s="98"/>
      <c r="G193" s="98"/>
      <c r="H193" s="98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97"/>
      <c r="B194" s="97"/>
      <c r="C194" s="97"/>
      <c r="D194" s="98"/>
      <c r="E194" s="99"/>
      <c r="F194" s="98"/>
      <c r="G194" s="98"/>
      <c r="H194" s="98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97"/>
      <c r="B195" s="97"/>
      <c r="C195" s="97"/>
      <c r="D195" s="98"/>
      <c r="E195" s="99"/>
      <c r="F195" s="98"/>
      <c r="G195" s="98"/>
      <c r="H195" s="98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97"/>
      <c r="B196" s="97"/>
      <c r="C196" s="97"/>
      <c r="D196" s="98"/>
      <c r="E196" s="99"/>
      <c r="F196" s="98"/>
      <c r="G196" s="98"/>
      <c r="H196" s="98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97"/>
      <c r="B197" s="97"/>
      <c r="C197" s="97"/>
      <c r="D197" s="98"/>
      <c r="E197" s="99"/>
      <c r="F197" s="98"/>
      <c r="G197" s="98"/>
      <c r="H197" s="98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97"/>
      <c r="B198" s="97"/>
      <c r="C198" s="97"/>
      <c r="D198" s="98"/>
      <c r="E198" s="99"/>
      <c r="F198" s="98"/>
      <c r="G198" s="98"/>
      <c r="H198" s="98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97"/>
      <c r="B199" s="97"/>
      <c r="C199" s="97"/>
      <c r="D199" s="98"/>
      <c r="E199" s="99"/>
      <c r="F199" s="98"/>
      <c r="G199" s="98"/>
      <c r="H199" s="98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97"/>
      <c r="B200" s="97"/>
      <c r="C200" s="97"/>
      <c r="D200" s="98"/>
      <c r="E200" s="99"/>
      <c r="F200" s="98"/>
      <c r="G200" s="98"/>
      <c r="H200" s="98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97"/>
      <c r="B201" s="97"/>
      <c r="C201" s="97"/>
      <c r="D201" s="98"/>
      <c r="E201" s="99"/>
      <c r="F201" s="98"/>
      <c r="G201" s="98"/>
      <c r="H201" s="98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97"/>
      <c r="B202" s="97"/>
      <c r="C202" s="97"/>
      <c r="D202" s="98"/>
      <c r="E202" s="99"/>
      <c r="F202" s="98"/>
      <c r="G202" s="98"/>
      <c r="H202" s="98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97"/>
      <c r="B203" s="97"/>
      <c r="C203" s="97"/>
      <c r="D203" s="98"/>
      <c r="E203" s="99"/>
      <c r="F203" s="98"/>
      <c r="G203" s="98"/>
      <c r="H203" s="98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>
      <c r="A204" s="97"/>
      <c r="B204" s="97"/>
      <c r="C204" s="97"/>
      <c r="D204" s="98"/>
      <c r="E204" s="99"/>
      <c r="F204" s="98"/>
      <c r="G204" s="98"/>
      <c r="H204" s="98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>
      <c r="A205" s="97"/>
      <c r="B205" s="97"/>
      <c r="C205" s="97"/>
      <c r="D205" s="98"/>
      <c r="E205" s="99"/>
      <c r="F205" s="98"/>
      <c r="G205" s="98"/>
      <c r="H205" s="98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97"/>
      <c r="B206" s="97"/>
      <c r="C206" s="97"/>
      <c r="D206" s="98"/>
      <c r="E206" s="99"/>
      <c r="F206" s="98"/>
      <c r="G206" s="98"/>
      <c r="H206" s="98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97"/>
      <c r="B207" s="97"/>
      <c r="C207" s="97"/>
      <c r="D207" s="98"/>
      <c r="E207" s="99"/>
      <c r="F207" s="98"/>
      <c r="G207" s="98"/>
      <c r="H207" s="98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97"/>
      <c r="B208" s="97"/>
      <c r="C208" s="97"/>
      <c r="D208" s="98"/>
      <c r="E208" s="99"/>
      <c r="F208" s="98"/>
      <c r="G208" s="98"/>
      <c r="H208" s="98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97"/>
      <c r="B209" s="97"/>
      <c r="C209" s="97"/>
      <c r="D209" s="98"/>
      <c r="E209" s="99"/>
      <c r="F209" s="98"/>
      <c r="G209" s="98"/>
      <c r="H209" s="98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97"/>
      <c r="B210" s="97"/>
      <c r="C210" s="97"/>
      <c r="D210" s="98"/>
      <c r="E210" s="99"/>
      <c r="F210" s="98"/>
      <c r="G210" s="98"/>
      <c r="H210" s="98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97"/>
      <c r="B211" s="97"/>
      <c r="C211" s="97"/>
      <c r="D211" s="98"/>
      <c r="E211" s="99"/>
      <c r="F211" s="98"/>
      <c r="G211" s="98"/>
      <c r="H211" s="98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97"/>
      <c r="B212" s="97"/>
      <c r="C212" s="97"/>
      <c r="D212" s="98"/>
      <c r="E212" s="99"/>
      <c r="F212" s="98"/>
      <c r="G212" s="98"/>
      <c r="H212" s="98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97"/>
      <c r="B213" s="97"/>
      <c r="C213" s="97"/>
      <c r="D213" s="98"/>
      <c r="E213" s="99"/>
      <c r="F213" s="98"/>
      <c r="G213" s="98"/>
      <c r="H213" s="98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97"/>
      <c r="B214" s="97"/>
      <c r="C214" s="97"/>
      <c r="D214" s="98"/>
      <c r="E214" s="99"/>
      <c r="F214" s="98"/>
      <c r="G214" s="98"/>
      <c r="H214" s="98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97"/>
      <c r="B215" s="97"/>
      <c r="C215" s="97"/>
      <c r="D215" s="98"/>
      <c r="E215" s="99"/>
      <c r="F215" s="98"/>
      <c r="G215" s="98"/>
      <c r="H215" s="98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97"/>
      <c r="B216" s="97"/>
      <c r="C216" s="97"/>
      <c r="D216" s="98"/>
      <c r="E216" s="99"/>
      <c r="F216" s="98"/>
      <c r="G216" s="98"/>
      <c r="H216" s="98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97"/>
      <c r="B217" s="97"/>
      <c r="C217" s="97"/>
      <c r="D217" s="98"/>
      <c r="E217" s="99"/>
      <c r="F217" s="98"/>
      <c r="G217" s="98"/>
      <c r="H217" s="98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97"/>
      <c r="B218" s="97"/>
      <c r="C218" s="97"/>
      <c r="D218" s="98"/>
      <c r="E218" s="99"/>
      <c r="F218" s="98"/>
      <c r="G218" s="98"/>
      <c r="H218" s="98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97"/>
      <c r="B219" s="97"/>
      <c r="C219" s="97"/>
      <c r="D219" s="98"/>
      <c r="E219" s="99"/>
      <c r="F219" s="98"/>
      <c r="G219" s="98"/>
      <c r="H219" s="98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97"/>
      <c r="B220" s="97"/>
      <c r="C220" s="97"/>
      <c r="D220" s="98"/>
      <c r="E220" s="99"/>
      <c r="F220" s="98"/>
      <c r="G220" s="98"/>
      <c r="H220" s="98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97"/>
      <c r="B221" s="97"/>
      <c r="C221" s="97"/>
      <c r="D221" s="98"/>
      <c r="E221" s="99"/>
      <c r="F221" s="98"/>
      <c r="G221" s="98"/>
      <c r="H221" s="98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97"/>
      <c r="B222" s="97"/>
      <c r="C222" s="97"/>
      <c r="D222" s="98"/>
      <c r="E222" s="99"/>
      <c r="F222" s="98"/>
      <c r="G222" s="98"/>
      <c r="H222" s="98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97"/>
      <c r="B223" s="97"/>
      <c r="C223" s="97"/>
      <c r="D223" s="98"/>
      <c r="E223" s="99"/>
      <c r="F223" s="98"/>
      <c r="G223" s="98"/>
      <c r="H223" s="98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97"/>
      <c r="B224" s="97"/>
      <c r="C224" s="97"/>
      <c r="D224" s="98"/>
      <c r="E224" s="99"/>
      <c r="F224" s="98"/>
      <c r="G224" s="98"/>
      <c r="H224" s="98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97"/>
      <c r="B225" s="97"/>
      <c r="C225" s="97"/>
      <c r="D225" s="98"/>
      <c r="E225" s="99"/>
      <c r="F225" s="98"/>
      <c r="G225" s="98"/>
      <c r="H225" s="98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97"/>
      <c r="B226" s="97"/>
      <c r="C226" s="97"/>
      <c r="D226" s="98"/>
      <c r="E226" s="99"/>
      <c r="F226" s="98"/>
      <c r="G226" s="98"/>
      <c r="H226" s="98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97"/>
      <c r="B227" s="97"/>
      <c r="C227" s="97"/>
      <c r="D227" s="98"/>
      <c r="E227" s="99"/>
      <c r="F227" s="98"/>
      <c r="G227" s="98"/>
      <c r="H227" s="98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>
      <c r="A228" s="97"/>
      <c r="B228" s="97"/>
      <c r="C228" s="97"/>
      <c r="D228" s="98"/>
      <c r="E228" s="99"/>
      <c r="F228" s="98"/>
      <c r="G228" s="98"/>
      <c r="H228" s="98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97"/>
      <c r="B229" s="97"/>
      <c r="C229" s="97"/>
      <c r="D229" s="98"/>
      <c r="E229" s="99"/>
      <c r="F229" s="98"/>
      <c r="G229" s="98"/>
      <c r="H229" s="98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97"/>
      <c r="B230" s="97"/>
      <c r="C230" s="97"/>
      <c r="D230" s="98"/>
      <c r="E230" s="99"/>
      <c r="F230" s="98"/>
      <c r="G230" s="98"/>
      <c r="H230" s="98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97"/>
      <c r="B231" s="97"/>
      <c r="C231" s="97"/>
      <c r="D231" s="98"/>
      <c r="E231" s="99"/>
      <c r="F231" s="98"/>
      <c r="G231" s="98"/>
      <c r="H231" s="98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97"/>
      <c r="B232" s="97"/>
      <c r="C232" s="97"/>
      <c r="D232" s="98"/>
      <c r="E232" s="99"/>
      <c r="F232" s="98"/>
      <c r="G232" s="98"/>
      <c r="H232" s="98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97"/>
      <c r="B233" s="97"/>
      <c r="C233" s="97"/>
      <c r="D233" s="98"/>
      <c r="E233" s="99"/>
      <c r="F233" s="98"/>
      <c r="G233" s="98"/>
      <c r="H233" s="98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97"/>
      <c r="B234" s="97"/>
      <c r="C234" s="97"/>
      <c r="D234" s="98"/>
      <c r="E234" s="99"/>
      <c r="F234" s="98"/>
      <c r="G234" s="98"/>
      <c r="H234" s="98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97"/>
      <c r="B235" s="97"/>
      <c r="C235" s="97"/>
      <c r="D235" s="98"/>
      <c r="E235" s="99"/>
      <c r="F235" s="98"/>
      <c r="G235" s="98"/>
      <c r="H235" s="98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97"/>
      <c r="B236" s="97"/>
      <c r="C236" s="97"/>
      <c r="D236" s="98"/>
      <c r="E236" s="99"/>
      <c r="F236" s="98"/>
      <c r="G236" s="98"/>
      <c r="H236" s="98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97"/>
      <c r="B237" s="97"/>
      <c r="C237" s="97"/>
      <c r="D237" s="98"/>
      <c r="E237" s="99"/>
      <c r="F237" s="98"/>
      <c r="G237" s="98"/>
      <c r="H237" s="98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97"/>
      <c r="B238" s="97"/>
      <c r="C238" s="97"/>
      <c r="D238" s="98"/>
      <c r="E238" s="99"/>
      <c r="F238" s="98"/>
      <c r="G238" s="98"/>
      <c r="H238" s="98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97"/>
      <c r="B239" s="97"/>
      <c r="C239" s="97"/>
      <c r="D239" s="98"/>
      <c r="E239" s="99"/>
      <c r="F239" s="98"/>
      <c r="G239" s="98"/>
      <c r="H239" s="98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97"/>
      <c r="B240" s="97"/>
      <c r="C240" s="97"/>
      <c r="D240" s="98"/>
      <c r="E240" s="99"/>
      <c r="F240" s="98"/>
      <c r="G240" s="98"/>
      <c r="H240" s="98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97"/>
      <c r="B241" s="97"/>
      <c r="C241" s="97"/>
      <c r="D241" s="98"/>
      <c r="E241" s="99"/>
      <c r="F241" s="98"/>
      <c r="G241" s="98"/>
      <c r="H241" s="98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97"/>
      <c r="B242" s="97"/>
      <c r="C242" s="97"/>
      <c r="D242" s="98"/>
      <c r="E242" s="99"/>
      <c r="F242" s="98"/>
      <c r="G242" s="98"/>
      <c r="H242" s="98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97"/>
      <c r="B243" s="97"/>
      <c r="C243" s="97"/>
      <c r="D243" s="98"/>
      <c r="E243" s="99"/>
      <c r="F243" s="98"/>
      <c r="G243" s="98"/>
      <c r="H243" s="98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97"/>
      <c r="B244" s="97"/>
      <c r="C244" s="97"/>
      <c r="D244" s="98"/>
      <c r="E244" s="99"/>
      <c r="F244" s="98"/>
      <c r="G244" s="98"/>
      <c r="H244" s="98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97"/>
      <c r="B245" s="97"/>
      <c r="C245" s="97"/>
      <c r="D245" s="98"/>
      <c r="E245" s="99"/>
      <c r="F245" s="98"/>
      <c r="G245" s="98"/>
      <c r="H245" s="98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97"/>
      <c r="B246" s="97"/>
      <c r="C246" s="97"/>
      <c r="D246" s="98"/>
      <c r="E246" s="99"/>
      <c r="F246" s="98"/>
      <c r="G246" s="98"/>
      <c r="H246" s="98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97"/>
      <c r="B247" s="97"/>
      <c r="C247" s="97"/>
      <c r="D247" s="98"/>
      <c r="E247" s="99"/>
      <c r="F247" s="98"/>
      <c r="G247" s="98"/>
      <c r="H247" s="98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97"/>
      <c r="B248" s="97"/>
      <c r="C248" s="97"/>
      <c r="D248" s="98"/>
      <c r="E248" s="99"/>
      <c r="F248" s="98"/>
      <c r="G248" s="98"/>
      <c r="H248" s="98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97"/>
      <c r="B249" s="97"/>
      <c r="C249" s="97"/>
      <c r="D249" s="98"/>
      <c r="E249" s="99"/>
      <c r="F249" s="98"/>
      <c r="G249" s="98"/>
      <c r="H249" s="98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97"/>
      <c r="B250" s="97"/>
      <c r="C250" s="97"/>
      <c r="D250" s="98"/>
      <c r="E250" s="99"/>
      <c r="F250" s="98"/>
      <c r="G250" s="98"/>
      <c r="H250" s="98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97"/>
      <c r="B251" s="97"/>
      <c r="C251" s="97"/>
      <c r="D251" s="98"/>
      <c r="E251" s="99"/>
      <c r="F251" s="98"/>
      <c r="G251" s="98"/>
      <c r="H251" s="98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97"/>
      <c r="B252" s="97"/>
      <c r="C252" s="97"/>
      <c r="D252" s="98"/>
      <c r="E252" s="99"/>
      <c r="F252" s="98"/>
      <c r="G252" s="98"/>
      <c r="H252" s="98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97"/>
      <c r="B253" s="97"/>
      <c r="C253" s="97"/>
      <c r="D253" s="98"/>
      <c r="E253" s="99"/>
      <c r="F253" s="98"/>
      <c r="G253" s="98"/>
      <c r="H253" s="98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97"/>
      <c r="B254" s="97"/>
      <c r="C254" s="97"/>
      <c r="D254" s="98"/>
      <c r="E254" s="99"/>
      <c r="F254" s="98"/>
      <c r="G254" s="98"/>
      <c r="H254" s="98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97"/>
      <c r="B255" s="97"/>
      <c r="C255" s="97"/>
      <c r="D255" s="98"/>
      <c r="E255" s="99"/>
      <c r="F255" s="98"/>
      <c r="G255" s="98"/>
      <c r="H255" s="98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97"/>
      <c r="B256" s="97"/>
      <c r="C256" s="97"/>
      <c r="D256" s="98"/>
      <c r="E256" s="99"/>
      <c r="F256" s="98"/>
      <c r="G256" s="98"/>
      <c r="H256" s="98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97"/>
      <c r="B257" s="97"/>
      <c r="C257" s="97"/>
      <c r="D257" s="98"/>
      <c r="E257" s="99"/>
      <c r="F257" s="98"/>
      <c r="G257" s="98"/>
      <c r="H257" s="98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97"/>
      <c r="B258" s="97"/>
      <c r="C258" s="97"/>
      <c r="D258" s="98"/>
      <c r="E258" s="99"/>
      <c r="F258" s="98"/>
      <c r="G258" s="98"/>
      <c r="H258" s="98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97"/>
      <c r="B259" s="97"/>
      <c r="C259" s="97"/>
      <c r="D259" s="98"/>
      <c r="E259" s="99"/>
      <c r="F259" s="98"/>
      <c r="G259" s="98"/>
      <c r="H259" s="98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97"/>
      <c r="B260" s="97"/>
      <c r="C260" s="97"/>
      <c r="D260" s="98"/>
      <c r="E260" s="99"/>
      <c r="F260" s="98"/>
      <c r="G260" s="98"/>
      <c r="H260" s="98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97"/>
      <c r="B261" s="97"/>
      <c r="C261" s="97"/>
      <c r="D261" s="98"/>
      <c r="E261" s="99"/>
      <c r="F261" s="98"/>
      <c r="G261" s="98"/>
      <c r="H261" s="98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97"/>
      <c r="B262" s="97"/>
      <c r="C262" s="97"/>
      <c r="D262" s="98"/>
      <c r="E262" s="99"/>
      <c r="F262" s="98"/>
      <c r="G262" s="98"/>
      <c r="H262" s="98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97"/>
      <c r="B263" s="97"/>
      <c r="C263" s="97"/>
      <c r="D263" s="98"/>
      <c r="E263" s="99"/>
      <c r="F263" s="98"/>
      <c r="G263" s="98"/>
      <c r="H263" s="98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97"/>
      <c r="B264" s="97"/>
      <c r="C264" s="97"/>
      <c r="D264" s="98"/>
      <c r="E264" s="99"/>
      <c r="F264" s="98"/>
      <c r="G264" s="98"/>
      <c r="H264" s="98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97"/>
      <c r="B265" s="97"/>
      <c r="C265" s="97"/>
      <c r="D265" s="98"/>
      <c r="E265" s="99"/>
      <c r="F265" s="98"/>
      <c r="G265" s="98"/>
      <c r="H265" s="98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97"/>
      <c r="B266" s="97"/>
      <c r="C266" s="97"/>
      <c r="D266" s="98"/>
      <c r="E266" s="99"/>
      <c r="F266" s="98"/>
      <c r="G266" s="98"/>
      <c r="H266" s="98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97"/>
      <c r="B267" s="97"/>
      <c r="C267" s="97"/>
      <c r="D267" s="98"/>
      <c r="E267" s="99"/>
      <c r="F267" s="98"/>
      <c r="G267" s="98"/>
      <c r="H267" s="98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97"/>
      <c r="B268" s="97"/>
      <c r="C268" s="97"/>
      <c r="D268" s="98"/>
      <c r="E268" s="99"/>
      <c r="F268" s="98"/>
      <c r="G268" s="98"/>
      <c r="H268" s="98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97"/>
      <c r="B269" s="97"/>
      <c r="C269" s="97"/>
      <c r="D269" s="98"/>
      <c r="E269" s="99"/>
      <c r="F269" s="98"/>
      <c r="G269" s="98"/>
      <c r="H269" s="98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97"/>
      <c r="B270" s="97"/>
      <c r="C270" s="97"/>
      <c r="D270" s="98"/>
      <c r="E270" s="99"/>
      <c r="F270" s="98"/>
      <c r="G270" s="98"/>
      <c r="H270" s="98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97"/>
      <c r="B271" s="97"/>
      <c r="C271" s="97"/>
      <c r="D271" s="98"/>
      <c r="E271" s="99"/>
      <c r="F271" s="98"/>
      <c r="G271" s="98"/>
      <c r="H271" s="98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97"/>
      <c r="B272" s="97"/>
      <c r="C272" s="97"/>
      <c r="D272" s="98"/>
      <c r="E272" s="99"/>
      <c r="F272" s="98"/>
      <c r="G272" s="98"/>
      <c r="H272" s="98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97"/>
      <c r="B273" s="97"/>
      <c r="C273" s="97"/>
      <c r="D273" s="98"/>
      <c r="E273" s="99"/>
      <c r="F273" s="98"/>
      <c r="G273" s="98"/>
      <c r="H273" s="98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97"/>
      <c r="B274" s="97"/>
      <c r="C274" s="97"/>
      <c r="D274" s="98"/>
      <c r="E274" s="99"/>
      <c r="F274" s="98"/>
      <c r="G274" s="98"/>
      <c r="H274" s="98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97"/>
      <c r="B275" s="97"/>
      <c r="C275" s="97"/>
      <c r="D275" s="98"/>
      <c r="E275" s="99"/>
      <c r="F275" s="98"/>
      <c r="G275" s="98"/>
      <c r="H275" s="98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97"/>
      <c r="B276" s="97"/>
      <c r="C276" s="97"/>
      <c r="D276" s="98"/>
      <c r="E276" s="99"/>
      <c r="F276" s="98"/>
      <c r="G276" s="98"/>
      <c r="H276" s="98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97"/>
      <c r="B277" s="97"/>
      <c r="C277" s="97"/>
      <c r="D277" s="98"/>
      <c r="E277" s="99"/>
      <c r="F277" s="98"/>
      <c r="G277" s="98"/>
      <c r="H277" s="98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97"/>
      <c r="B278" s="97"/>
      <c r="C278" s="97"/>
      <c r="D278" s="98"/>
      <c r="E278" s="99"/>
      <c r="F278" s="98"/>
      <c r="G278" s="98"/>
      <c r="H278" s="98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97"/>
      <c r="B279" s="97"/>
      <c r="C279" s="97"/>
      <c r="D279" s="98"/>
      <c r="E279" s="99"/>
      <c r="F279" s="98"/>
      <c r="G279" s="98"/>
      <c r="H279" s="98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97"/>
      <c r="B280" s="97"/>
      <c r="C280" s="97"/>
      <c r="D280" s="98"/>
      <c r="E280" s="99"/>
      <c r="F280" s="98"/>
      <c r="G280" s="98"/>
      <c r="H280" s="98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97"/>
      <c r="B281" s="97"/>
      <c r="C281" s="97"/>
      <c r="D281" s="98"/>
      <c r="E281" s="99"/>
      <c r="F281" s="98"/>
      <c r="G281" s="98"/>
      <c r="H281" s="98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97"/>
      <c r="B282" s="97"/>
      <c r="C282" s="97"/>
      <c r="D282" s="98"/>
      <c r="E282" s="99"/>
      <c r="F282" s="98"/>
      <c r="G282" s="98"/>
      <c r="H282" s="98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97"/>
      <c r="B283" s="97"/>
      <c r="C283" s="97"/>
      <c r="D283" s="98"/>
      <c r="E283" s="99"/>
      <c r="F283" s="98"/>
      <c r="G283" s="98"/>
      <c r="H283" s="98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97"/>
      <c r="B284" s="97"/>
      <c r="C284" s="97"/>
      <c r="D284" s="98"/>
      <c r="E284" s="99"/>
      <c r="F284" s="98"/>
      <c r="G284" s="98"/>
      <c r="H284" s="98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97"/>
      <c r="B285" s="97"/>
      <c r="C285" s="97"/>
      <c r="D285" s="98"/>
      <c r="E285" s="99"/>
      <c r="F285" s="98"/>
      <c r="G285" s="98"/>
      <c r="H285" s="98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97"/>
      <c r="B286" s="97"/>
      <c r="C286" s="97"/>
      <c r="D286" s="98"/>
      <c r="E286" s="99"/>
      <c r="F286" s="98"/>
      <c r="G286" s="98"/>
      <c r="H286" s="98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97"/>
      <c r="B287" s="97"/>
      <c r="C287" s="97"/>
      <c r="D287" s="98"/>
      <c r="E287" s="99"/>
      <c r="F287" s="98"/>
      <c r="G287" s="98"/>
      <c r="H287" s="98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97"/>
      <c r="B288" s="97"/>
      <c r="C288" s="97"/>
      <c r="D288" s="98"/>
      <c r="E288" s="99"/>
      <c r="F288" s="98"/>
      <c r="G288" s="98"/>
      <c r="H288" s="98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97"/>
      <c r="B289" s="97"/>
      <c r="C289" s="97"/>
      <c r="D289" s="98"/>
      <c r="E289" s="99"/>
      <c r="F289" s="98"/>
      <c r="G289" s="98"/>
      <c r="H289" s="98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97"/>
      <c r="B290" s="97"/>
      <c r="C290" s="97"/>
      <c r="D290" s="98"/>
      <c r="E290" s="99"/>
      <c r="F290" s="98"/>
      <c r="G290" s="98"/>
      <c r="H290" s="98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97"/>
      <c r="B291" s="97"/>
      <c r="C291" s="97"/>
      <c r="D291" s="98"/>
      <c r="E291" s="99"/>
      <c r="F291" s="98"/>
      <c r="G291" s="98"/>
      <c r="H291" s="98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97"/>
      <c r="B292" s="97"/>
      <c r="C292" s="97"/>
      <c r="D292" s="98"/>
      <c r="E292" s="99"/>
      <c r="F292" s="98"/>
      <c r="G292" s="98"/>
      <c r="H292" s="98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97"/>
      <c r="B293" s="97"/>
      <c r="C293" s="97"/>
      <c r="D293" s="98"/>
      <c r="E293" s="99"/>
      <c r="F293" s="98"/>
      <c r="G293" s="98"/>
      <c r="H293" s="98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97"/>
      <c r="B294" s="97"/>
      <c r="C294" s="97"/>
      <c r="D294" s="98"/>
      <c r="E294" s="99"/>
      <c r="F294" s="98"/>
      <c r="G294" s="98"/>
      <c r="H294" s="98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97"/>
      <c r="B295" s="97"/>
      <c r="C295" s="97"/>
      <c r="D295" s="98"/>
      <c r="E295" s="99"/>
      <c r="F295" s="98"/>
      <c r="G295" s="98"/>
      <c r="H295" s="98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97"/>
      <c r="B296" s="97"/>
      <c r="C296" s="97"/>
      <c r="D296" s="98"/>
      <c r="E296" s="99"/>
      <c r="F296" s="98"/>
      <c r="G296" s="98"/>
      <c r="H296" s="98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97"/>
      <c r="B297" s="97"/>
      <c r="C297" s="97"/>
      <c r="D297" s="98"/>
      <c r="E297" s="99"/>
      <c r="F297" s="98"/>
      <c r="G297" s="98"/>
      <c r="H297" s="98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97"/>
      <c r="B298" s="97"/>
      <c r="C298" s="97"/>
      <c r="D298" s="98"/>
      <c r="E298" s="99"/>
      <c r="F298" s="98"/>
      <c r="G298" s="98"/>
      <c r="H298" s="98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97"/>
      <c r="B299" s="97"/>
      <c r="C299" s="97"/>
      <c r="D299" s="98"/>
      <c r="E299" s="99"/>
      <c r="F299" s="98"/>
      <c r="G299" s="98"/>
      <c r="H299" s="98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97"/>
      <c r="B300" s="97"/>
      <c r="C300" s="97"/>
      <c r="D300" s="98"/>
      <c r="E300" s="99"/>
      <c r="F300" s="98"/>
      <c r="G300" s="98"/>
      <c r="H300" s="98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97"/>
      <c r="B301" s="97"/>
      <c r="C301" s="97"/>
      <c r="D301" s="98"/>
      <c r="E301" s="99"/>
      <c r="F301" s="98"/>
      <c r="G301" s="98"/>
      <c r="H301" s="98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97"/>
      <c r="B302" s="97"/>
      <c r="C302" s="97"/>
      <c r="D302" s="98"/>
      <c r="E302" s="99"/>
      <c r="F302" s="98"/>
      <c r="G302" s="98"/>
      <c r="H302" s="98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97"/>
      <c r="B303" s="97"/>
      <c r="C303" s="97"/>
      <c r="D303" s="98"/>
      <c r="E303" s="99"/>
      <c r="F303" s="98"/>
      <c r="G303" s="98"/>
      <c r="H303" s="98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97"/>
      <c r="B304" s="97"/>
      <c r="C304" s="97"/>
      <c r="D304" s="98"/>
      <c r="E304" s="99"/>
      <c r="F304" s="98"/>
      <c r="G304" s="98"/>
      <c r="H304" s="98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97"/>
      <c r="B305" s="97"/>
      <c r="C305" s="97"/>
      <c r="D305" s="98"/>
      <c r="E305" s="99"/>
      <c r="F305" s="98"/>
      <c r="G305" s="98"/>
      <c r="H305" s="98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97"/>
      <c r="B306" s="97"/>
      <c r="C306" s="97"/>
      <c r="D306" s="98"/>
      <c r="E306" s="99"/>
      <c r="F306" s="98"/>
      <c r="G306" s="98"/>
      <c r="H306" s="98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97"/>
      <c r="B307" s="97"/>
      <c r="C307" s="97"/>
      <c r="D307" s="98"/>
      <c r="E307" s="99"/>
      <c r="F307" s="98"/>
      <c r="G307" s="98"/>
      <c r="H307" s="98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97"/>
      <c r="B308" s="97"/>
      <c r="C308" s="97"/>
      <c r="D308" s="98"/>
      <c r="E308" s="99"/>
      <c r="F308" s="98"/>
      <c r="G308" s="98"/>
      <c r="H308" s="98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97"/>
      <c r="B309" s="97"/>
      <c r="C309" s="97"/>
      <c r="D309" s="98"/>
      <c r="E309" s="99"/>
      <c r="F309" s="98"/>
      <c r="G309" s="98"/>
      <c r="H309" s="98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97"/>
      <c r="B310" s="97"/>
      <c r="C310" s="97"/>
      <c r="D310" s="98"/>
      <c r="E310" s="99"/>
      <c r="F310" s="98"/>
      <c r="G310" s="98"/>
      <c r="H310" s="98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97"/>
      <c r="B311" s="97"/>
      <c r="C311" s="97"/>
      <c r="D311" s="98"/>
      <c r="E311" s="99"/>
      <c r="F311" s="98"/>
      <c r="G311" s="98"/>
      <c r="H311" s="98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97"/>
      <c r="B312" s="97"/>
      <c r="C312" s="97"/>
      <c r="D312" s="98"/>
      <c r="E312" s="99"/>
      <c r="F312" s="98"/>
      <c r="G312" s="98"/>
      <c r="H312" s="98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97"/>
      <c r="B313" s="97"/>
      <c r="C313" s="97"/>
      <c r="D313" s="98"/>
      <c r="E313" s="99"/>
      <c r="F313" s="98"/>
      <c r="G313" s="98"/>
      <c r="H313" s="98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97"/>
      <c r="B314" s="97"/>
      <c r="C314" s="97"/>
      <c r="D314" s="98"/>
      <c r="E314" s="99"/>
      <c r="F314" s="98"/>
      <c r="G314" s="98"/>
      <c r="H314" s="98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97"/>
      <c r="B315" s="97"/>
      <c r="C315" s="97"/>
      <c r="D315" s="98"/>
      <c r="E315" s="99"/>
      <c r="F315" s="98"/>
      <c r="G315" s="98"/>
      <c r="H315" s="98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97"/>
      <c r="B316" s="97"/>
      <c r="C316" s="97"/>
      <c r="D316" s="98"/>
      <c r="E316" s="99"/>
      <c r="F316" s="98"/>
      <c r="G316" s="98"/>
      <c r="H316" s="98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97"/>
      <c r="B317" s="97"/>
      <c r="C317" s="97"/>
      <c r="D317" s="98"/>
      <c r="E317" s="99"/>
      <c r="F317" s="98"/>
      <c r="G317" s="98"/>
      <c r="H317" s="98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97"/>
      <c r="B318" s="97"/>
      <c r="C318" s="97"/>
      <c r="D318" s="98"/>
      <c r="E318" s="99"/>
      <c r="F318" s="98"/>
      <c r="G318" s="98"/>
      <c r="H318" s="98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97"/>
      <c r="B319" s="97"/>
      <c r="C319" s="97"/>
      <c r="D319" s="98"/>
      <c r="E319" s="99"/>
      <c r="F319" s="98"/>
      <c r="G319" s="98"/>
      <c r="H319" s="98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97"/>
      <c r="B320" s="97"/>
      <c r="C320" s="97"/>
      <c r="D320" s="98"/>
      <c r="E320" s="99"/>
      <c r="F320" s="98"/>
      <c r="G320" s="98"/>
      <c r="H320" s="98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97"/>
      <c r="B321" s="97"/>
      <c r="C321" s="97"/>
      <c r="D321" s="98"/>
      <c r="E321" s="99"/>
      <c r="F321" s="98"/>
      <c r="G321" s="98"/>
      <c r="H321" s="98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97"/>
      <c r="B322" s="97"/>
      <c r="C322" s="97"/>
      <c r="D322" s="98"/>
      <c r="E322" s="99"/>
      <c r="F322" s="98"/>
      <c r="G322" s="98"/>
      <c r="H322" s="98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97"/>
      <c r="B323" s="97"/>
      <c r="C323" s="97"/>
      <c r="D323" s="98"/>
      <c r="E323" s="99"/>
      <c r="F323" s="98"/>
      <c r="G323" s="98"/>
      <c r="H323" s="98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97"/>
      <c r="B324" s="97"/>
      <c r="C324" s="97"/>
      <c r="D324" s="98"/>
      <c r="E324" s="99"/>
      <c r="F324" s="98"/>
      <c r="G324" s="98"/>
      <c r="H324" s="98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97"/>
      <c r="B325" s="97"/>
      <c r="C325" s="97"/>
      <c r="D325" s="98"/>
      <c r="E325" s="99"/>
      <c r="F325" s="98"/>
      <c r="G325" s="98"/>
      <c r="H325" s="98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97"/>
      <c r="B326" s="97"/>
      <c r="C326" s="97"/>
      <c r="D326" s="98"/>
      <c r="E326" s="99"/>
      <c r="F326" s="98"/>
      <c r="G326" s="98"/>
      <c r="H326" s="98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97"/>
      <c r="B327" s="97"/>
      <c r="C327" s="97"/>
      <c r="D327" s="98"/>
      <c r="E327" s="99"/>
      <c r="F327" s="98"/>
      <c r="G327" s="98"/>
      <c r="H327" s="98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97"/>
      <c r="B328" s="97"/>
      <c r="C328" s="97"/>
      <c r="D328" s="98"/>
      <c r="E328" s="99"/>
      <c r="F328" s="98"/>
      <c r="G328" s="98"/>
      <c r="H328" s="98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97"/>
      <c r="B329" s="97"/>
      <c r="C329" s="97"/>
      <c r="D329" s="98"/>
      <c r="E329" s="99"/>
      <c r="F329" s="98"/>
      <c r="G329" s="98"/>
      <c r="H329" s="98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97"/>
      <c r="B330" s="97"/>
      <c r="C330" s="97"/>
      <c r="D330" s="98"/>
      <c r="E330" s="99"/>
      <c r="F330" s="98"/>
      <c r="G330" s="98"/>
      <c r="H330" s="98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97"/>
      <c r="B331" s="97"/>
      <c r="C331" s="97"/>
      <c r="D331" s="98"/>
      <c r="E331" s="99"/>
      <c r="F331" s="98"/>
      <c r="G331" s="98"/>
      <c r="H331" s="98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97"/>
      <c r="B332" s="97"/>
      <c r="C332" s="97"/>
      <c r="D332" s="98"/>
      <c r="E332" s="99"/>
      <c r="F332" s="98"/>
      <c r="G332" s="98"/>
      <c r="H332" s="98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97"/>
      <c r="B333" s="97"/>
      <c r="C333" s="97"/>
      <c r="D333" s="98"/>
      <c r="E333" s="99"/>
      <c r="F333" s="98"/>
      <c r="G333" s="98"/>
      <c r="H333" s="98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97"/>
      <c r="B334" s="97"/>
      <c r="C334" s="97"/>
      <c r="D334" s="98"/>
      <c r="E334" s="99"/>
      <c r="F334" s="98"/>
      <c r="G334" s="98"/>
      <c r="H334" s="98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97"/>
      <c r="B335" s="97"/>
      <c r="C335" s="97"/>
      <c r="D335" s="98"/>
      <c r="E335" s="99"/>
      <c r="F335" s="98"/>
      <c r="G335" s="98"/>
      <c r="H335" s="98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97"/>
      <c r="B336" s="97"/>
      <c r="C336" s="97"/>
      <c r="D336" s="98"/>
      <c r="E336" s="99"/>
      <c r="F336" s="98"/>
      <c r="G336" s="98"/>
      <c r="H336" s="98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97"/>
      <c r="B337" s="97"/>
      <c r="C337" s="97"/>
      <c r="D337" s="98"/>
      <c r="E337" s="99"/>
      <c r="F337" s="98"/>
      <c r="G337" s="98"/>
      <c r="H337" s="98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97"/>
      <c r="B338" s="97"/>
      <c r="C338" s="97"/>
      <c r="D338" s="98"/>
      <c r="E338" s="99"/>
      <c r="F338" s="98"/>
      <c r="G338" s="98"/>
      <c r="H338" s="98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97"/>
      <c r="B339" s="97"/>
      <c r="C339" s="97"/>
      <c r="D339" s="98"/>
      <c r="E339" s="99"/>
      <c r="F339" s="98"/>
      <c r="G339" s="98"/>
      <c r="H339" s="98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97"/>
      <c r="B340" s="97"/>
      <c r="C340" s="97"/>
      <c r="D340" s="98"/>
      <c r="E340" s="99"/>
      <c r="F340" s="98"/>
      <c r="G340" s="98"/>
      <c r="H340" s="98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97"/>
      <c r="B341" s="97"/>
      <c r="C341" s="97"/>
      <c r="D341" s="98"/>
      <c r="E341" s="99"/>
      <c r="F341" s="98"/>
      <c r="G341" s="98"/>
      <c r="H341" s="98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97"/>
      <c r="B342" s="97"/>
      <c r="C342" s="97"/>
      <c r="D342" s="98"/>
      <c r="E342" s="99"/>
      <c r="F342" s="98"/>
      <c r="G342" s="98"/>
      <c r="H342" s="98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97"/>
      <c r="B343" s="97"/>
      <c r="C343" s="97"/>
      <c r="D343" s="98"/>
      <c r="E343" s="99"/>
      <c r="F343" s="98"/>
      <c r="G343" s="98"/>
      <c r="H343" s="98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97"/>
      <c r="B344" s="97"/>
      <c r="C344" s="97"/>
      <c r="D344" s="98"/>
      <c r="E344" s="99"/>
      <c r="F344" s="98"/>
      <c r="G344" s="98"/>
      <c r="H344" s="98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97"/>
      <c r="B345" s="97"/>
      <c r="C345" s="97"/>
      <c r="D345" s="98"/>
      <c r="E345" s="99"/>
      <c r="F345" s="98"/>
      <c r="G345" s="98"/>
      <c r="H345" s="98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97"/>
      <c r="B346" s="97"/>
      <c r="C346" s="97"/>
      <c r="D346" s="98"/>
      <c r="E346" s="99"/>
      <c r="F346" s="98"/>
      <c r="G346" s="98"/>
      <c r="H346" s="98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97"/>
      <c r="B347" s="97"/>
      <c r="C347" s="97"/>
      <c r="D347" s="98"/>
      <c r="E347" s="99"/>
      <c r="F347" s="98"/>
      <c r="G347" s="98"/>
      <c r="H347" s="98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97"/>
      <c r="B348" s="97"/>
      <c r="C348" s="97"/>
      <c r="D348" s="98"/>
      <c r="E348" s="99"/>
      <c r="F348" s="98"/>
      <c r="G348" s="98"/>
      <c r="H348" s="98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97"/>
      <c r="B349" s="97"/>
      <c r="C349" s="97"/>
      <c r="D349" s="98"/>
      <c r="E349" s="99"/>
      <c r="F349" s="98"/>
      <c r="G349" s="98"/>
      <c r="H349" s="98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97"/>
      <c r="B350" s="97"/>
      <c r="C350" s="97"/>
      <c r="D350" s="98"/>
      <c r="E350" s="99"/>
      <c r="F350" s="98"/>
      <c r="G350" s="98"/>
      <c r="H350" s="98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97"/>
      <c r="B351" s="97"/>
      <c r="C351" s="97"/>
      <c r="D351" s="98"/>
      <c r="E351" s="99"/>
      <c r="F351" s="98"/>
      <c r="G351" s="98"/>
      <c r="H351" s="98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97"/>
      <c r="B352" s="97"/>
      <c r="C352" s="97"/>
      <c r="D352" s="98"/>
      <c r="E352" s="99"/>
      <c r="F352" s="98"/>
      <c r="G352" s="98"/>
      <c r="H352" s="98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97"/>
      <c r="B353" s="97"/>
      <c r="C353" s="97"/>
      <c r="D353" s="98"/>
      <c r="E353" s="99"/>
      <c r="F353" s="98"/>
      <c r="G353" s="98"/>
      <c r="H353" s="98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97"/>
      <c r="B354" s="97"/>
      <c r="C354" s="97"/>
      <c r="D354" s="98"/>
      <c r="E354" s="99"/>
      <c r="F354" s="98"/>
      <c r="G354" s="98"/>
      <c r="H354" s="98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97"/>
      <c r="B355" s="97"/>
      <c r="C355" s="97"/>
      <c r="D355" s="98"/>
      <c r="E355" s="99"/>
      <c r="F355" s="98"/>
      <c r="G355" s="98"/>
      <c r="H355" s="98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97"/>
      <c r="B356" s="97"/>
      <c r="C356" s="97"/>
      <c r="D356" s="98"/>
      <c r="E356" s="99"/>
      <c r="F356" s="98"/>
      <c r="G356" s="98"/>
      <c r="H356" s="98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97"/>
      <c r="B357" s="97"/>
      <c r="C357" s="97"/>
      <c r="D357" s="98"/>
      <c r="E357" s="99"/>
      <c r="F357" s="98"/>
      <c r="G357" s="98"/>
      <c r="H357" s="98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97"/>
      <c r="B358" s="97"/>
      <c r="C358" s="97"/>
      <c r="D358" s="98"/>
      <c r="E358" s="99"/>
      <c r="F358" s="98"/>
      <c r="G358" s="98"/>
      <c r="H358" s="98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97"/>
      <c r="B359" s="97"/>
      <c r="C359" s="97"/>
      <c r="D359" s="98"/>
      <c r="E359" s="99"/>
      <c r="F359" s="98"/>
      <c r="G359" s="98"/>
      <c r="H359" s="98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97"/>
      <c r="B360" s="97"/>
      <c r="C360" s="97"/>
      <c r="D360" s="98"/>
      <c r="E360" s="99"/>
      <c r="F360" s="98"/>
      <c r="G360" s="98"/>
      <c r="H360" s="98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97"/>
      <c r="B361" s="97"/>
      <c r="C361" s="97"/>
      <c r="D361" s="98"/>
      <c r="E361" s="99"/>
      <c r="F361" s="98"/>
      <c r="G361" s="98"/>
      <c r="H361" s="98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97"/>
      <c r="B362" s="97"/>
      <c r="C362" s="97"/>
      <c r="D362" s="98"/>
      <c r="E362" s="99"/>
      <c r="F362" s="98"/>
      <c r="G362" s="98"/>
      <c r="H362" s="98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97"/>
      <c r="B363" s="97"/>
      <c r="C363" s="97"/>
      <c r="D363" s="98"/>
      <c r="E363" s="99"/>
      <c r="F363" s="98"/>
      <c r="G363" s="98"/>
      <c r="H363" s="98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97"/>
      <c r="B364" s="97"/>
      <c r="C364" s="97"/>
      <c r="D364" s="98"/>
      <c r="E364" s="99"/>
      <c r="F364" s="98"/>
      <c r="G364" s="98"/>
      <c r="H364" s="98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97"/>
      <c r="B365" s="97"/>
      <c r="C365" s="97"/>
      <c r="D365" s="98"/>
      <c r="E365" s="99"/>
      <c r="F365" s="98"/>
      <c r="G365" s="98"/>
      <c r="H365" s="98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97"/>
      <c r="B366" s="97"/>
      <c r="C366" s="97"/>
      <c r="D366" s="98"/>
      <c r="E366" s="99"/>
      <c r="F366" s="98"/>
      <c r="G366" s="98"/>
      <c r="H366" s="98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97"/>
      <c r="B367" s="97"/>
      <c r="C367" s="97"/>
      <c r="D367" s="98"/>
      <c r="E367" s="99"/>
      <c r="F367" s="98"/>
      <c r="G367" s="98"/>
      <c r="H367" s="98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97"/>
      <c r="B368" s="97"/>
      <c r="C368" s="97"/>
      <c r="D368" s="98"/>
      <c r="E368" s="99"/>
      <c r="F368" s="98"/>
      <c r="G368" s="98"/>
      <c r="H368" s="98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97"/>
      <c r="B369" s="97"/>
      <c r="C369" s="97"/>
      <c r="D369" s="98"/>
      <c r="E369" s="99"/>
      <c r="F369" s="98"/>
      <c r="G369" s="98"/>
      <c r="H369" s="98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97"/>
      <c r="B370" s="97"/>
      <c r="C370" s="97"/>
      <c r="D370" s="98"/>
      <c r="E370" s="99"/>
      <c r="F370" s="98"/>
      <c r="G370" s="98"/>
      <c r="H370" s="98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97"/>
      <c r="B371" s="97"/>
      <c r="C371" s="97"/>
      <c r="D371" s="98"/>
      <c r="E371" s="99"/>
      <c r="F371" s="98"/>
      <c r="G371" s="98"/>
      <c r="H371" s="98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97"/>
      <c r="B372" s="97"/>
      <c r="C372" s="97"/>
      <c r="D372" s="98"/>
      <c r="E372" s="99"/>
      <c r="F372" s="98"/>
      <c r="G372" s="98"/>
      <c r="H372" s="98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97"/>
      <c r="B373" s="97"/>
      <c r="C373" s="97"/>
      <c r="D373" s="98"/>
      <c r="E373" s="99"/>
      <c r="F373" s="98"/>
      <c r="G373" s="98"/>
      <c r="H373" s="98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97"/>
      <c r="B374" s="97"/>
      <c r="C374" s="97"/>
      <c r="D374" s="98"/>
      <c r="E374" s="99"/>
      <c r="F374" s="98"/>
      <c r="G374" s="98"/>
      <c r="H374" s="98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97"/>
      <c r="B375" s="97"/>
      <c r="C375" s="97"/>
      <c r="D375" s="98"/>
      <c r="E375" s="99"/>
      <c r="F375" s="98"/>
      <c r="G375" s="98"/>
      <c r="H375" s="98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97"/>
      <c r="B376" s="97"/>
      <c r="C376" s="97"/>
      <c r="D376" s="98"/>
      <c r="E376" s="99"/>
      <c r="F376" s="98"/>
      <c r="G376" s="98"/>
      <c r="H376" s="98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97"/>
      <c r="B377" s="97"/>
      <c r="C377" s="97"/>
      <c r="D377" s="98"/>
      <c r="E377" s="99"/>
      <c r="F377" s="98"/>
      <c r="G377" s="98"/>
      <c r="H377" s="98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97"/>
      <c r="B378" s="97"/>
      <c r="C378" s="97"/>
      <c r="D378" s="98"/>
      <c r="E378" s="99"/>
      <c r="F378" s="98"/>
      <c r="G378" s="98"/>
      <c r="H378" s="98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97"/>
      <c r="B379" s="97"/>
      <c r="C379" s="97"/>
      <c r="D379" s="98"/>
      <c r="E379" s="99"/>
      <c r="F379" s="98"/>
      <c r="G379" s="98"/>
      <c r="H379" s="98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97"/>
      <c r="B380" s="97"/>
      <c r="C380" s="97"/>
      <c r="D380" s="98"/>
      <c r="E380" s="99"/>
      <c r="F380" s="98"/>
      <c r="G380" s="98"/>
      <c r="H380" s="98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97"/>
      <c r="B381" s="97"/>
      <c r="C381" s="97"/>
      <c r="D381" s="98"/>
      <c r="E381" s="99"/>
      <c r="F381" s="98"/>
      <c r="G381" s="98"/>
      <c r="H381" s="98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97"/>
      <c r="B382" s="97"/>
      <c r="C382" s="97"/>
      <c r="D382" s="98"/>
      <c r="E382" s="99"/>
      <c r="F382" s="98"/>
      <c r="G382" s="98"/>
      <c r="H382" s="98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97"/>
      <c r="B383" s="97"/>
      <c r="C383" s="97"/>
      <c r="D383" s="98"/>
      <c r="E383" s="99"/>
      <c r="F383" s="98"/>
      <c r="G383" s="98"/>
      <c r="H383" s="98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97"/>
      <c r="B384" s="97"/>
      <c r="C384" s="97"/>
      <c r="D384" s="98"/>
      <c r="E384" s="99"/>
      <c r="F384" s="98"/>
      <c r="G384" s="98"/>
      <c r="H384" s="98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97"/>
      <c r="B385" s="97"/>
      <c r="C385" s="97"/>
      <c r="D385" s="98"/>
      <c r="E385" s="99"/>
      <c r="F385" s="98"/>
      <c r="G385" s="98"/>
      <c r="H385" s="98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97"/>
      <c r="B386" s="97"/>
      <c r="C386" s="97"/>
      <c r="D386" s="98"/>
      <c r="E386" s="99"/>
      <c r="F386" s="98"/>
      <c r="G386" s="98"/>
      <c r="H386" s="98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97"/>
      <c r="B387" s="97"/>
      <c r="C387" s="97"/>
      <c r="D387" s="98"/>
      <c r="E387" s="99"/>
      <c r="F387" s="98"/>
      <c r="G387" s="98"/>
      <c r="H387" s="98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97"/>
      <c r="B388" s="97"/>
      <c r="C388" s="97"/>
      <c r="D388" s="98"/>
      <c r="E388" s="99"/>
      <c r="F388" s="98"/>
      <c r="G388" s="98"/>
      <c r="H388" s="98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97"/>
      <c r="B389" s="97"/>
      <c r="C389" s="97"/>
      <c r="D389" s="98"/>
      <c r="E389" s="99"/>
      <c r="F389" s="98"/>
      <c r="G389" s="98"/>
      <c r="H389" s="98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97"/>
      <c r="B390" s="97"/>
      <c r="C390" s="97"/>
      <c r="D390" s="98"/>
      <c r="E390" s="99"/>
      <c r="F390" s="98"/>
      <c r="G390" s="98"/>
      <c r="H390" s="98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97"/>
      <c r="B391" s="97"/>
      <c r="C391" s="97"/>
      <c r="D391" s="98"/>
      <c r="E391" s="99"/>
      <c r="F391" s="98"/>
      <c r="G391" s="98"/>
      <c r="H391" s="98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97"/>
      <c r="B392" s="97"/>
      <c r="C392" s="97"/>
      <c r="D392" s="98"/>
      <c r="E392" s="99"/>
      <c r="F392" s="98"/>
      <c r="G392" s="98"/>
      <c r="H392" s="98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97"/>
      <c r="B393" s="97"/>
      <c r="C393" s="97"/>
      <c r="D393" s="98"/>
      <c r="E393" s="99"/>
      <c r="F393" s="98"/>
      <c r="G393" s="98"/>
      <c r="H393" s="98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97"/>
      <c r="B394" s="97"/>
      <c r="C394" s="97"/>
      <c r="D394" s="98"/>
      <c r="E394" s="99"/>
      <c r="F394" s="98"/>
      <c r="G394" s="98"/>
      <c r="H394" s="98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97"/>
      <c r="B395" s="97"/>
      <c r="C395" s="97"/>
      <c r="D395" s="98"/>
      <c r="E395" s="99"/>
      <c r="F395" s="98"/>
      <c r="G395" s="98"/>
      <c r="H395" s="98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97"/>
      <c r="B396" s="97"/>
      <c r="C396" s="97"/>
      <c r="D396" s="98"/>
      <c r="E396" s="99"/>
      <c r="F396" s="98"/>
      <c r="G396" s="98"/>
      <c r="H396" s="98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97"/>
      <c r="B397" s="97"/>
      <c r="C397" s="97"/>
      <c r="D397" s="98"/>
      <c r="E397" s="99"/>
      <c r="F397" s="98"/>
      <c r="G397" s="98"/>
      <c r="H397" s="98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97"/>
      <c r="B398" s="97"/>
      <c r="C398" s="97"/>
      <c r="D398" s="98"/>
      <c r="E398" s="99"/>
      <c r="F398" s="98"/>
      <c r="G398" s="98"/>
      <c r="H398" s="98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97"/>
      <c r="B399" s="97"/>
      <c r="C399" s="97"/>
      <c r="D399" s="98"/>
      <c r="E399" s="99"/>
      <c r="F399" s="98"/>
      <c r="G399" s="98"/>
      <c r="H399" s="98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97"/>
      <c r="B400" s="97"/>
      <c r="C400" s="97"/>
      <c r="D400" s="98"/>
      <c r="E400" s="99"/>
      <c r="F400" s="98"/>
      <c r="G400" s="98"/>
      <c r="H400" s="98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97"/>
      <c r="B401" s="97"/>
      <c r="C401" s="97"/>
      <c r="D401" s="98"/>
      <c r="E401" s="99"/>
      <c r="F401" s="98"/>
      <c r="G401" s="98"/>
      <c r="H401" s="98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97"/>
      <c r="B402" s="97"/>
      <c r="C402" s="97"/>
      <c r="D402" s="98"/>
      <c r="E402" s="99"/>
      <c r="F402" s="98"/>
      <c r="G402" s="98"/>
      <c r="H402" s="98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97"/>
      <c r="B403" s="97"/>
      <c r="C403" s="97"/>
      <c r="D403" s="98"/>
      <c r="E403" s="99"/>
      <c r="F403" s="98"/>
      <c r="G403" s="98"/>
      <c r="H403" s="98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97"/>
      <c r="B404" s="97"/>
      <c r="C404" s="97"/>
      <c r="D404" s="98"/>
      <c r="E404" s="99"/>
      <c r="F404" s="98"/>
      <c r="G404" s="98"/>
      <c r="H404" s="98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97"/>
      <c r="B405" s="97"/>
      <c r="C405" s="97"/>
      <c r="D405" s="98"/>
      <c r="E405" s="99"/>
      <c r="F405" s="98"/>
      <c r="G405" s="98"/>
      <c r="H405" s="98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97"/>
      <c r="B406" s="97"/>
      <c r="C406" s="97"/>
      <c r="D406" s="98"/>
      <c r="E406" s="99"/>
      <c r="F406" s="98"/>
      <c r="G406" s="98"/>
      <c r="H406" s="98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97"/>
      <c r="B407" s="97"/>
      <c r="C407" s="97"/>
      <c r="D407" s="98"/>
      <c r="E407" s="99"/>
      <c r="F407" s="98"/>
      <c r="G407" s="98"/>
      <c r="H407" s="98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97"/>
      <c r="B408" s="97"/>
      <c r="C408" s="97"/>
      <c r="D408" s="98"/>
      <c r="E408" s="99"/>
      <c r="F408" s="98"/>
      <c r="G408" s="98"/>
      <c r="H408" s="98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97"/>
      <c r="B409" s="97"/>
      <c r="C409" s="97"/>
      <c r="D409" s="98"/>
      <c r="E409" s="99"/>
      <c r="F409" s="98"/>
      <c r="G409" s="98"/>
      <c r="H409" s="98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97"/>
      <c r="B410" s="97"/>
      <c r="C410" s="97"/>
      <c r="D410" s="98"/>
      <c r="E410" s="99"/>
      <c r="F410" s="98"/>
      <c r="G410" s="98"/>
      <c r="H410" s="98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97"/>
      <c r="B411" s="97"/>
      <c r="C411" s="97"/>
      <c r="D411" s="98"/>
      <c r="E411" s="99"/>
      <c r="F411" s="98"/>
      <c r="G411" s="98"/>
      <c r="H411" s="98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97"/>
      <c r="B412" s="97"/>
      <c r="C412" s="97"/>
      <c r="D412" s="98"/>
      <c r="E412" s="99"/>
      <c r="F412" s="98"/>
      <c r="G412" s="98"/>
      <c r="H412" s="98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97"/>
      <c r="B413" s="97"/>
      <c r="C413" s="97"/>
      <c r="D413" s="98"/>
      <c r="E413" s="99"/>
      <c r="F413" s="98"/>
      <c r="G413" s="98"/>
      <c r="H413" s="98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97"/>
      <c r="B414" s="97"/>
      <c r="C414" s="97"/>
      <c r="D414" s="98"/>
      <c r="E414" s="99"/>
      <c r="F414" s="98"/>
      <c r="G414" s="98"/>
      <c r="H414" s="98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97"/>
      <c r="B415" s="97"/>
      <c r="C415" s="97"/>
      <c r="D415" s="98"/>
      <c r="E415" s="99"/>
      <c r="F415" s="98"/>
      <c r="G415" s="98"/>
      <c r="H415" s="98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97"/>
      <c r="B416" s="97"/>
      <c r="C416" s="97"/>
      <c r="D416" s="98"/>
      <c r="E416" s="99"/>
      <c r="F416" s="98"/>
      <c r="G416" s="98"/>
      <c r="H416" s="98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97"/>
      <c r="B417" s="97"/>
      <c r="C417" s="97"/>
      <c r="D417" s="98"/>
      <c r="E417" s="99"/>
      <c r="F417" s="98"/>
      <c r="G417" s="98"/>
      <c r="H417" s="98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97"/>
      <c r="B418" s="97"/>
      <c r="C418" s="97"/>
      <c r="D418" s="98"/>
      <c r="E418" s="99"/>
      <c r="F418" s="98"/>
      <c r="G418" s="98"/>
      <c r="H418" s="98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97"/>
      <c r="B419" s="97"/>
      <c r="C419" s="97"/>
      <c r="D419" s="98"/>
      <c r="E419" s="99"/>
      <c r="F419" s="98"/>
      <c r="G419" s="98"/>
      <c r="H419" s="98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97"/>
      <c r="B420" s="97"/>
      <c r="C420" s="97"/>
      <c r="D420" s="98"/>
      <c r="E420" s="99"/>
      <c r="F420" s="98"/>
      <c r="G420" s="98"/>
      <c r="H420" s="98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97"/>
      <c r="B421" s="97"/>
      <c r="C421" s="97"/>
      <c r="D421" s="98"/>
      <c r="E421" s="99"/>
      <c r="F421" s="98"/>
      <c r="G421" s="98"/>
      <c r="H421" s="98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97"/>
      <c r="B422" s="97"/>
      <c r="C422" s="97"/>
      <c r="D422" s="98"/>
      <c r="E422" s="99"/>
      <c r="F422" s="98"/>
      <c r="G422" s="98"/>
      <c r="H422" s="98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97"/>
      <c r="B423" s="97"/>
      <c r="C423" s="97"/>
      <c r="D423" s="98"/>
      <c r="E423" s="99"/>
      <c r="F423" s="98"/>
      <c r="G423" s="98"/>
      <c r="H423" s="98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97"/>
      <c r="B424" s="97"/>
      <c r="C424" s="97"/>
      <c r="D424" s="98"/>
      <c r="E424" s="99"/>
      <c r="F424" s="98"/>
      <c r="G424" s="98"/>
      <c r="H424" s="98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97"/>
      <c r="B425" s="97"/>
      <c r="C425" s="97"/>
      <c r="D425" s="98"/>
      <c r="E425" s="99"/>
      <c r="F425" s="98"/>
      <c r="G425" s="98"/>
      <c r="H425" s="98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97"/>
      <c r="B426" s="97"/>
      <c r="C426" s="97"/>
      <c r="D426" s="98"/>
      <c r="E426" s="99"/>
      <c r="F426" s="98"/>
      <c r="G426" s="98"/>
      <c r="H426" s="98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97"/>
      <c r="B427" s="97"/>
      <c r="C427" s="97"/>
      <c r="D427" s="98"/>
      <c r="E427" s="99"/>
      <c r="F427" s="98"/>
      <c r="G427" s="98"/>
      <c r="H427" s="98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97"/>
      <c r="B428" s="97"/>
      <c r="C428" s="97"/>
      <c r="D428" s="98"/>
      <c r="E428" s="99"/>
      <c r="F428" s="98"/>
      <c r="G428" s="98"/>
      <c r="H428" s="98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97"/>
      <c r="B429" s="97"/>
      <c r="C429" s="97"/>
      <c r="D429" s="98"/>
      <c r="E429" s="99"/>
      <c r="F429" s="98"/>
      <c r="G429" s="98"/>
      <c r="H429" s="98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97"/>
      <c r="B430" s="97"/>
      <c r="C430" s="97"/>
      <c r="D430" s="98"/>
      <c r="E430" s="99"/>
      <c r="F430" s="98"/>
      <c r="G430" s="98"/>
      <c r="H430" s="98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97"/>
      <c r="B431" s="97"/>
      <c r="C431" s="97"/>
      <c r="D431" s="98"/>
      <c r="E431" s="99"/>
      <c r="F431" s="98"/>
      <c r="G431" s="98"/>
      <c r="H431" s="98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97"/>
      <c r="B432" s="97"/>
      <c r="C432" s="97"/>
      <c r="D432" s="98"/>
      <c r="E432" s="99"/>
      <c r="F432" s="98"/>
      <c r="G432" s="98"/>
      <c r="H432" s="98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97"/>
      <c r="B433" s="97"/>
      <c r="C433" s="97"/>
      <c r="D433" s="98"/>
      <c r="E433" s="99"/>
      <c r="F433" s="98"/>
      <c r="G433" s="98"/>
      <c r="H433" s="98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97"/>
      <c r="B434" s="97"/>
      <c r="C434" s="97"/>
      <c r="D434" s="98"/>
      <c r="E434" s="99"/>
      <c r="F434" s="98"/>
      <c r="G434" s="98"/>
      <c r="H434" s="98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97"/>
      <c r="B435" s="97"/>
      <c r="C435" s="97"/>
      <c r="D435" s="98"/>
      <c r="E435" s="99"/>
      <c r="F435" s="98"/>
      <c r="G435" s="98"/>
      <c r="H435" s="98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97"/>
      <c r="B436" s="97"/>
      <c r="C436" s="97"/>
      <c r="D436" s="98"/>
      <c r="E436" s="99"/>
      <c r="F436" s="98"/>
      <c r="G436" s="98"/>
      <c r="H436" s="98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97"/>
      <c r="B437" s="97"/>
      <c r="C437" s="97"/>
      <c r="D437" s="98"/>
      <c r="E437" s="99"/>
      <c r="F437" s="98"/>
      <c r="G437" s="98"/>
      <c r="H437" s="98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97"/>
      <c r="B438" s="97"/>
      <c r="C438" s="97"/>
      <c r="D438" s="98"/>
      <c r="E438" s="99"/>
      <c r="F438" s="98"/>
      <c r="G438" s="98"/>
      <c r="H438" s="98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97"/>
      <c r="B439" s="97"/>
      <c r="C439" s="97"/>
      <c r="D439" s="98"/>
      <c r="E439" s="99"/>
      <c r="F439" s="98"/>
      <c r="G439" s="98"/>
      <c r="H439" s="98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97"/>
      <c r="B440" s="97"/>
      <c r="C440" s="97"/>
      <c r="D440" s="98"/>
      <c r="E440" s="99"/>
      <c r="F440" s="98"/>
      <c r="G440" s="98"/>
      <c r="H440" s="98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97"/>
      <c r="B441" s="97"/>
      <c r="C441" s="97"/>
      <c r="D441" s="98"/>
      <c r="E441" s="99"/>
      <c r="F441" s="98"/>
      <c r="G441" s="98"/>
      <c r="H441" s="98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97"/>
      <c r="B442" s="97"/>
      <c r="C442" s="97"/>
      <c r="D442" s="98"/>
      <c r="E442" s="99"/>
      <c r="F442" s="98"/>
      <c r="G442" s="98"/>
      <c r="H442" s="98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97"/>
      <c r="B443" s="97"/>
      <c r="C443" s="97"/>
      <c r="D443" s="98"/>
      <c r="E443" s="99"/>
      <c r="F443" s="98"/>
      <c r="G443" s="98"/>
      <c r="H443" s="98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97"/>
      <c r="B444" s="97"/>
      <c r="C444" s="97"/>
      <c r="D444" s="98"/>
      <c r="E444" s="99"/>
      <c r="F444" s="98"/>
      <c r="G444" s="98"/>
      <c r="H444" s="98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97"/>
      <c r="B445" s="97"/>
      <c r="C445" s="97"/>
      <c r="D445" s="98"/>
      <c r="E445" s="99"/>
      <c r="F445" s="98"/>
      <c r="G445" s="98"/>
      <c r="H445" s="98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97"/>
      <c r="B446" s="97"/>
      <c r="C446" s="97"/>
      <c r="D446" s="98"/>
      <c r="E446" s="99"/>
      <c r="F446" s="98"/>
      <c r="G446" s="98"/>
      <c r="H446" s="98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97"/>
      <c r="B447" s="97"/>
      <c r="C447" s="97"/>
      <c r="D447" s="98"/>
      <c r="E447" s="99"/>
      <c r="F447" s="98"/>
      <c r="G447" s="98"/>
      <c r="H447" s="98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97"/>
      <c r="B448" s="97"/>
      <c r="C448" s="97"/>
      <c r="D448" s="98"/>
      <c r="E448" s="99"/>
      <c r="F448" s="98"/>
      <c r="G448" s="98"/>
      <c r="H448" s="98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97"/>
      <c r="B449" s="97"/>
      <c r="C449" s="97"/>
      <c r="D449" s="98"/>
      <c r="E449" s="99"/>
      <c r="F449" s="98"/>
      <c r="G449" s="98"/>
      <c r="H449" s="98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97"/>
      <c r="B450" s="97"/>
      <c r="C450" s="97"/>
      <c r="D450" s="98"/>
      <c r="E450" s="99"/>
      <c r="F450" s="98"/>
      <c r="G450" s="98"/>
      <c r="H450" s="98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97"/>
      <c r="B451" s="97"/>
      <c r="C451" s="97"/>
      <c r="D451" s="98"/>
      <c r="E451" s="99"/>
      <c r="F451" s="98"/>
      <c r="G451" s="98"/>
      <c r="H451" s="98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97"/>
      <c r="B452" s="97"/>
      <c r="C452" s="97"/>
      <c r="D452" s="98"/>
      <c r="E452" s="99"/>
      <c r="F452" s="98"/>
      <c r="G452" s="98"/>
      <c r="H452" s="98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97"/>
      <c r="B453" s="97"/>
      <c r="C453" s="97"/>
      <c r="D453" s="98"/>
      <c r="E453" s="99"/>
      <c r="F453" s="98"/>
      <c r="G453" s="98"/>
      <c r="H453" s="98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97"/>
      <c r="B454" s="97"/>
      <c r="C454" s="97"/>
      <c r="D454" s="98"/>
      <c r="E454" s="99"/>
      <c r="F454" s="98"/>
      <c r="G454" s="98"/>
      <c r="H454" s="98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97"/>
      <c r="B455" s="97"/>
      <c r="C455" s="97"/>
      <c r="D455" s="98"/>
      <c r="E455" s="99"/>
      <c r="F455" s="98"/>
      <c r="G455" s="98"/>
      <c r="H455" s="98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97"/>
      <c r="B456" s="97"/>
      <c r="C456" s="97"/>
      <c r="D456" s="98"/>
      <c r="E456" s="99"/>
      <c r="F456" s="98"/>
      <c r="G456" s="98"/>
      <c r="H456" s="98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97"/>
      <c r="B457" s="97"/>
      <c r="C457" s="97"/>
      <c r="D457" s="98"/>
      <c r="E457" s="99"/>
      <c r="F457" s="98"/>
      <c r="G457" s="98"/>
      <c r="H457" s="98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97"/>
      <c r="B458" s="97"/>
      <c r="C458" s="97"/>
      <c r="D458" s="98"/>
      <c r="E458" s="99"/>
      <c r="F458" s="98"/>
      <c r="G458" s="98"/>
      <c r="H458" s="98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97"/>
      <c r="B459" s="97"/>
      <c r="C459" s="97"/>
      <c r="D459" s="98"/>
      <c r="E459" s="99"/>
      <c r="F459" s="98"/>
      <c r="G459" s="98"/>
      <c r="H459" s="98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97"/>
      <c r="B460" s="97"/>
      <c r="C460" s="97"/>
      <c r="D460" s="98"/>
      <c r="E460" s="99"/>
      <c r="F460" s="98"/>
      <c r="G460" s="98"/>
      <c r="H460" s="98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97"/>
      <c r="B461" s="97"/>
      <c r="C461" s="97"/>
      <c r="D461" s="98"/>
      <c r="E461" s="99"/>
      <c r="F461" s="98"/>
      <c r="G461" s="98"/>
      <c r="H461" s="98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97"/>
      <c r="B462" s="97"/>
      <c r="C462" s="97"/>
      <c r="D462" s="98"/>
      <c r="E462" s="99"/>
      <c r="F462" s="98"/>
      <c r="G462" s="98"/>
      <c r="H462" s="98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97"/>
      <c r="B463" s="97"/>
      <c r="C463" s="97"/>
      <c r="D463" s="98"/>
      <c r="E463" s="99"/>
      <c r="F463" s="98"/>
      <c r="G463" s="98"/>
      <c r="H463" s="98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97"/>
      <c r="B464" s="97"/>
      <c r="C464" s="97"/>
      <c r="D464" s="98"/>
      <c r="E464" s="99"/>
      <c r="F464" s="98"/>
      <c r="G464" s="98"/>
      <c r="H464" s="98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97"/>
      <c r="B465" s="97"/>
      <c r="C465" s="97"/>
      <c r="D465" s="98"/>
      <c r="E465" s="99"/>
      <c r="F465" s="98"/>
      <c r="G465" s="98"/>
      <c r="H465" s="98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97"/>
      <c r="B466" s="97"/>
      <c r="C466" s="97"/>
      <c r="D466" s="98"/>
      <c r="E466" s="99"/>
      <c r="F466" s="98"/>
      <c r="G466" s="98"/>
      <c r="H466" s="98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97"/>
      <c r="B467" s="97"/>
      <c r="C467" s="97"/>
      <c r="D467" s="98"/>
      <c r="E467" s="99"/>
      <c r="F467" s="98"/>
      <c r="G467" s="98"/>
      <c r="H467" s="98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97"/>
      <c r="B468" s="97"/>
      <c r="C468" s="97"/>
      <c r="D468" s="98"/>
      <c r="E468" s="99"/>
      <c r="F468" s="98"/>
      <c r="G468" s="98"/>
      <c r="H468" s="98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97"/>
      <c r="B469" s="97"/>
      <c r="C469" s="97"/>
      <c r="D469" s="98"/>
      <c r="E469" s="99"/>
      <c r="F469" s="98"/>
      <c r="G469" s="98"/>
      <c r="H469" s="98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97"/>
      <c r="B470" s="97"/>
      <c r="C470" s="97"/>
      <c r="D470" s="98"/>
      <c r="E470" s="99"/>
      <c r="F470" s="98"/>
      <c r="G470" s="98"/>
      <c r="H470" s="98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97"/>
      <c r="B471" s="97"/>
      <c r="C471" s="97"/>
      <c r="D471" s="98"/>
      <c r="E471" s="99"/>
      <c r="F471" s="98"/>
      <c r="G471" s="98"/>
      <c r="H471" s="98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97"/>
      <c r="B472" s="97"/>
      <c r="C472" s="97"/>
      <c r="D472" s="98"/>
      <c r="E472" s="99"/>
      <c r="F472" s="98"/>
      <c r="G472" s="98"/>
      <c r="H472" s="98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97"/>
      <c r="B473" s="97"/>
      <c r="C473" s="97"/>
      <c r="D473" s="98"/>
      <c r="E473" s="99"/>
      <c r="F473" s="98"/>
      <c r="G473" s="98"/>
      <c r="H473" s="98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97"/>
      <c r="B474" s="97"/>
      <c r="C474" s="97"/>
      <c r="D474" s="98"/>
      <c r="E474" s="99"/>
      <c r="F474" s="98"/>
      <c r="G474" s="98"/>
      <c r="H474" s="98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97"/>
      <c r="B475" s="97"/>
      <c r="C475" s="97"/>
      <c r="D475" s="98"/>
      <c r="E475" s="99"/>
      <c r="F475" s="98"/>
      <c r="G475" s="98"/>
      <c r="H475" s="98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97"/>
      <c r="B476" s="97"/>
      <c r="C476" s="97"/>
      <c r="D476" s="98"/>
      <c r="E476" s="99"/>
      <c r="F476" s="98"/>
      <c r="G476" s="98"/>
      <c r="H476" s="98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97"/>
      <c r="B477" s="97"/>
      <c r="C477" s="97"/>
      <c r="D477" s="98"/>
      <c r="E477" s="99"/>
      <c r="F477" s="98"/>
      <c r="G477" s="98"/>
      <c r="H477" s="98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97"/>
      <c r="B478" s="97"/>
      <c r="C478" s="97"/>
      <c r="D478" s="98"/>
      <c r="E478" s="99"/>
      <c r="F478" s="98"/>
      <c r="G478" s="98"/>
      <c r="H478" s="98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97"/>
      <c r="B479" s="97"/>
      <c r="C479" s="97"/>
      <c r="D479" s="98"/>
      <c r="E479" s="99"/>
      <c r="F479" s="98"/>
      <c r="G479" s="98"/>
      <c r="H479" s="98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97"/>
      <c r="B480" s="97"/>
      <c r="C480" s="97"/>
      <c r="D480" s="98"/>
      <c r="E480" s="99"/>
      <c r="F480" s="98"/>
      <c r="G480" s="98"/>
      <c r="H480" s="98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97"/>
      <c r="B481" s="97"/>
      <c r="C481" s="97"/>
      <c r="D481" s="98"/>
      <c r="E481" s="99"/>
      <c r="F481" s="98"/>
      <c r="G481" s="98"/>
      <c r="H481" s="98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97"/>
      <c r="B482" s="97"/>
      <c r="C482" s="97"/>
      <c r="D482" s="98"/>
      <c r="E482" s="99"/>
      <c r="F482" s="98"/>
      <c r="G482" s="98"/>
      <c r="H482" s="98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97"/>
      <c r="B483" s="97"/>
      <c r="C483" s="97"/>
      <c r="D483" s="98"/>
      <c r="E483" s="99"/>
      <c r="F483" s="98"/>
      <c r="G483" s="98"/>
      <c r="H483" s="98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97"/>
      <c r="B484" s="97"/>
      <c r="C484" s="97"/>
      <c r="D484" s="98"/>
      <c r="E484" s="99"/>
      <c r="F484" s="98"/>
      <c r="G484" s="98"/>
      <c r="H484" s="98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97"/>
      <c r="B485" s="97"/>
      <c r="C485" s="97"/>
      <c r="D485" s="98"/>
      <c r="E485" s="99"/>
      <c r="F485" s="98"/>
      <c r="G485" s="98"/>
      <c r="H485" s="98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97"/>
      <c r="B486" s="97"/>
      <c r="C486" s="97"/>
      <c r="D486" s="98"/>
      <c r="E486" s="99"/>
      <c r="F486" s="98"/>
      <c r="G486" s="98"/>
      <c r="H486" s="98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97"/>
      <c r="B487" s="97"/>
      <c r="C487" s="97"/>
      <c r="D487" s="98"/>
      <c r="E487" s="99"/>
      <c r="F487" s="98"/>
      <c r="G487" s="98"/>
      <c r="H487" s="98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97"/>
      <c r="B488" s="97"/>
      <c r="C488" s="97"/>
      <c r="D488" s="98"/>
      <c r="E488" s="99"/>
      <c r="F488" s="98"/>
      <c r="G488" s="98"/>
      <c r="H488" s="98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97"/>
      <c r="B489" s="97"/>
      <c r="C489" s="97"/>
      <c r="D489" s="98"/>
      <c r="E489" s="99"/>
      <c r="F489" s="98"/>
      <c r="G489" s="98"/>
      <c r="H489" s="98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97"/>
      <c r="B490" s="97"/>
      <c r="C490" s="97"/>
      <c r="D490" s="98"/>
      <c r="E490" s="99"/>
      <c r="F490" s="98"/>
      <c r="G490" s="98"/>
      <c r="H490" s="98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97"/>
      <c r="B491" s="97"/>
      <c r="C491" s="97"/>
      <c r="D491" s="98"/>
      <c r="E491" s="99"/>
      <c r="F491" s="98"/>
      <c r="G491" s="98"/>
      <c r="H491" s="98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97"/>
      <c r="B492" s="97"/>
      <c r="C492" s="97"/>
      <c r="D492" s="98"/>
      <c r="E492" s="99"/>
      <c r="F492" s="98"/>
      <c r="G492" s="98"/>
      <c r="H492" s="98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97"/>
      <c r="B493" s="97"/>
      <c r="C493" s="97"/>
      <c r="D493" s="98"/>
      <c r="E493" s="99"/>
      <c r="F493" s="98"/>
      <c r="G493" s="98"/>
      <c r="H493" s="98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97"/>
      <c r="B494" s="97"/>
      <c r="C494" s="97"/>
      <c r="D494" s="98"/>
      <c r="E494" s="99"/>
      <c r="F494" s="98"/>
      <c r="G494" s="98"/>
      <c r="H494" s="98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97"/>
      <c r="B495" s="97"/>
      <c r="C495" s="97"/>
      <c r="D495" s="98"/>
      <c r="E495" s="99"/>
      <c r="F495" s="98"/>
      <c r="G495" s="98"/>
      <c r="H495" s="98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97"/>
      <c r="B496" s="97"/>
      <c r="C496" s="97"/>
      <c r="D496" s="98"/>
      <c r="E496" s="99"/>
      <c r="F496" s="98"/>
      <c r="G496" s="98"/>
      <c r="H496" s="98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97"/>
      <c r="B497" s="97"/>
      <c r="C497" s="97"/>
      <c r="D497" s="98"/>
      <c r="E497" s="99"/>
      <c r="F497" s="98"/>
      <c r="G497" s="98"/>
      <c r="H497" s="98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97"/>
      <c r="B498" s="97"/>
      <c r="C498" s="97"/>
      <c r="D498" s="98"/>
      <c r="E498" s="99"/>
      <c r="F498" s="98"/>
      <c r="G498" s="98"/>
      <c r="H498" s="98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97"/>
      <c r="B499" s="97"/>
      <c r="C499" s="97"/>
      <c r="D499" s="98"/>
      <c r="E499" s="99"/>
      <c r="F499" s="98"/>
      <c r="G499" s="98"/>
      <c r="H499" s="98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97"/>
      <c r="B500" s="97"/>
      <c r="C500" s="97"/>
      <c r="D500" s="98"/>
      <c r="E500" s="99"/>
      <c r="F500" s="98"/>
      <c r="G500" s="98"/>
      <c r="H500" s="98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97"/>
      <c r="B501" s="97"/>
      <c r="C501" s="97"/>
      <c r="D501" s="98"/>
      <c r="E501" s="99"/>
      <c r="F501" s="98"/>
      <c r="G501" s="98"/>
      <c r="H501" s="98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97"/>
      <c r="B502" s="97"/>
      <c r="C502" s="97"/>
      <c r="D502" s="98"/>
      <c r="E502" s="99"/>
      <c r="F502" s="98"/>
      <c r="G502" s="98"/>
      <c r="H502" s="98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97"/>
      <c r="B503" s="97"/>
      <c r="C503" s="97"/>
      <c r="D503" s="98"/>
      <c r="E503" s="99"/>
      <c r="F503" s="98"/>
      <c r="G503" s="98"/>
      <c r="H503" s="98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97"/>
      <c r="B504" s="97"/>
      <c r="C504" s="97"/>
      <c r="D504" s="98"/>
      <c r="E504" s="99"/>
      <c r="F504" s="98"/>
      <c r="G504" s="98"/>
      <c r="H504" s="98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97"/>
      <c r="B505" s="97"/>
      <c r="C505" s="97"/>
      <c r="D505" s="98"/>
      <c r="E505" s="99"/>
      <c r="F505" s="98"/>
      <c r="G505" s="98"/>
      <c r="H505" s="98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97"/>
      <c r="B506" s="97"/>
      <c r="C506" s="97"/>
      <c r="D506" s="98"/>
      <c r="E506" s="99"/>
      <c r="F506" s="98"/>
      <c r="G506" s="98"/>
      <c r="H506" s="98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97"/>
      <c r="B507" s="97"/>
      <c r="C507" s="97"/>
      <c r="D507" s="98"/>
      <c r="E507" s="99"/>
      <c r="F507" s="98"/>
      <c r="G507" s="98"/>
      <c r="H507" s="98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97"/>
      <c r="B508" s="97"/>
      <c r="C508" s="97"/>
      <c r="D508" s="98"/>
      <c r="E508" s="99"/>
      <c r="F508" s="98"/>
      <c r="G508" s="98"/>
      <c r="H508" s="98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97"/>
      <c r="B509" s="97"/>
      <c r="C509" s="97"/>
      <c r="D509" s="98"/>
      <c r="E509" s="99"/>
      <c r="F509" s="98"/>
      <c r="G509" s="98"/>
      <c r="H509" s="98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97"/>
      <c r="B510" s="97"/>
      <c r="C510" s="97"/>
      <c r="D510" s="98"/>
      <c r="E510" s="99"/>
      <c r="F510" s="98"/>
      <c r="G510" s="98"/>
      <c r="H510" s="98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97"/>
      <c r="B511" s="97"/>
      <c r="C511" s="97"/>
      <c r="D511" s="98"/>
      <c r="E511" s="99"/>
      <c r="F511" s="98"/>
      <c r="G511" s="98"/>
      <c r="H511" s="98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97"/>
      <c r="B512" s="97"/>
      <c r="C512" s="97"/>
      <c r="D512" s="98"/>
      <c r="E512" s="99"/>
      <c r="F512" s="98"/>
      <c r="G512" s="98"/>
      <c r="H512" s="98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97"/>
      <c r="B513" s="97"/>
      <c r="C513" s="97"/>
      <c r="D513" s="98"/>
      <c r="E513" s="99"/>
      <c r="F513" s="98"/>
      <c r="G513" s="98"/>
      <c r="H513" s="98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97"/>
      <c r="B514" s="97"/>
      <c r="C514" s="97"/>
      <c r="D514" s="98"/>
      <c r="E514" s="99"/>
      <c r="F514" s="98"/>
      <c r="G514" s="98"/>
      <c r="H514" s="98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97"/>
      <c r="B515" s="97"/>
      <c r="C515" s="97"/>
      <c r="D515" s="98"/>
      <c r="E515" s="99"/>
      <c r="F515" s="98"/>
      <c r="G515" s="98"/>
      <c r="H515" s="98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97"/>
      <c r="B516" s="97"/>
      <c r="C516" s="97"/>
      <c r="D516" s="98"/>
      <c r="E516" s="99"/>
      <c r="F516" s="98"/>
      <c r="G516" s="98"/>
      <c r="H516" s="98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97"/>
      <c r="B517" s="97"/>
      <c r="C517" s="97"/>
      <c r="D517" s="98"/>
      <c r="E517" s="99"/>
      <c r="F517" s="98"/>
      <c r="G517" s="98"/>
      <c r="H517" s="98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97"/>
      <c r="B518" s="97"/>
      <c r="C518" s="97"/>
      <c r="D518" s="98"/>
      <c r="E518" s="99"/>
      <c r="F518" s="98"/>
      <c r="G518" s="98"/>
      <c r="H518" s="98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97"/>
      <c r="B519" s="97"/>
      <c r="C519" s="97"/>
      <c r="D519" s="98"/>
      <c r="E519" s="99"/>
      <c r="F519" s="98"/>
      <c r="G519" s="98"/>
      <c r="H519" s="98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97"/>
      <c r="B520" s="97"/>
      <c r="C520" s="97"/>
      <c r="D520" s="98"/>
      <c r="E520" s="99"/>
      <c r="F520" s="98"/>
      <c r="G520" s="98"/>
      <c r="H520" s="98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97"/>
      <c r="B521" s="97"/>
      <c r="C521" s="97"/>
      <c r="D521" s="98"/>
      <c r="E521" s="99"/>
      <c r="F521" s="98"/>
      <c r="G521" s="98"/>
      <c r="H521" s="98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97"/>
      <c r="B522" s="97"/>
      <c r="C522" s="97"/>
      <c r="D522" s="98"/>
      <c r="E522" s="99"/>
      <c r="F522" s="98"/>
      <c r="G522" s="98"/>
      <c r="H522" s="98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97"/>
      <c r="B523" s="97"/>
      <c r="C523" s="97"/>
      <c r="D523" s="98"/>
      <c r="E523" s="99"/>
      <c r="F523" s="98"/>
      <c r="G523" s="98"/>
      <c r="H523" s="98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97"/>
      <c r="B524" s="97"/>
      <c r="C524" s="97"/>
      <c r="D524" s="98"/>
      <c r="E524" s="99"/>
      <c r="F524" s="98"/>
      <c r="G524" s="98"/>
      <c r="H524" s="98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97"/>
      <c r="B525" s="97"/>
      <c r="C525" s="97"/>
      <c r="D525" s="98"/>
      <c r="E525" s="99"/>
      <c r="F525" s="98"/>
      <c r="G525" s="98"/>
      <c r="H525" s="98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97"/>
      <c r="B526" s="97"/>
      <c r="C526" s="97"/>
      <c r="D526" s="98"/>
      <c r="E526" s="99"/>
      <c r="F526" s="98"/>
      <c r="G526" s="98"/>
      <c r="H526" s="98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97"/>
      <c r="B527" s="97"/>
      <c r="C527" s="97"/>
      <c r="D527" s="98"/>
      <c r="E527" s="99"/>
      <c r="F527" s="98"/>
      <c r="G527" s="98"/>
      <c r="H527" s="98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97"/>
      <c r="B528" s="97"/>
      <c r="C528" s="97"/>
      <c r="D528" s="98"/>
      <c r="E528" s="99"/>
      <c r="F528" s="98"/>
      <c r="G528" s="98"/>
      <c r="H528" s="98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97"/>
      <c r="B529" s="97"/>
      <c r="C529" s="97"/>
      <c r="D529" s="98"/>
      <c r="E529" s="99"/>
      <c r="F529" s="98"/>
      <c r="G529" s="98"/>
      <c r="H529" s="98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97"/>
      <c r="B530" s="97"/>
      <c r="C530" s="97"/>
      <c r="D530" s="98"/>
      <c r="E530" s="99"/>
      <c r="F530" s="98"/>
      <c r="G530" s="98"/>
      <c r="H530" s="98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97"/>
      <c r="B531" s="97"/>
      <c r="C531" s="97"/>
      <c r="D531" s="98"/>
      <c r="E531" s="99"/>
      <c r="F531" s="98"/>
      <c r="G531" s="98"/>
      <c r="H531" s="98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97"/>
      <c r="B532" s="97"/>
      <c r="C532" s="97"/>
      <c r="D532" s="98"/>
      <c r="E532" s="99"/>
      <c r="F532" s="98"/>
      <c r="G532" s="98"/>
      <c r="H532" s="98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97"/>
      <c r="B533" s="97"/>
      <c r="C533" s="97"/>
      <c r="D533" s="98"/>
      <c r="E533" s="99"/>
      <c r="F533" s="98"/>
      <c r="G533" s="98"/>
      <c r="H533" s="98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97"/>
      <c r="B534" s="97"/>
      <c r="C534" s="97"/>
      <c r="D534" s="98"/>
      <c r="E534" s="99"/>
      <c r="F534" s="98"/>
      <c r="G534" s="98"/>
      <c r="H534" s="98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97"/>
      <c r="B535" s="97"/>
      <c r="C535" s="97"/>
      <c r="D535" s="98"/>
      <c r="E535" s="99"/>
      <c r="F535" s="98"/>
      <c r="G535" s="98"/>
      <c r="H535" s="98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97"/>
      <c r="B536" s="97"/>
      <c r="C536" s="97"/>
      <c r="D536" s="98"/>
      <c r="E536" s="99"/>
      <c r="F536" s="98"/>
      <c r="G536" s="98"/>
      <c r="H536" s="98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97"/>
      <c r="B537" s="97"/>
      <c r="C537" s="97"/>
      <c r="D537" s="98"/>
      <c r="E537" s="99"/>
      <c r="F537" s="98"/>
      <c r="G537" s="98"/>
      <c r="H537" s="98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97"/>
      <c r="B538" s="97"/>
      <c r="C538" s="97"/>
      <c r="D538" s="98"/>
      <c r="E538" s="99"/>
      <c r="F538" s="98"/>
      <c r="G538" s="98"/>
      <c r="H538" s="98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97"/>
      <c r="B539" s="97"/>
      <c r="C539" s="97"/>
      <c r="D539" s="98"/>
      <c r="E539" s="99"/>
      <c r="F539" s="98"/>
      <c r="G539" s="98"/>
      <c r="H539" s="98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97"/>
      <c r="B540" s="97"/>
      <c r="C540" s="97"/>
      <c r="D540" s="98"/>
      <c r="E540" s="99"/>
      <c r="F540" s="98"/>
      <c r="G540" s="98"/>
      <c r="H540" s="98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97"/>
      <c r="B541" s="97"/>
      <c r="C541" s="97"/>
      <c r="D541" s="98"/>
      <c r="E541" s="99"/>
      <c r="F541" s="98"/>
      <c r="G541" s="98"/>
      <c r="H541" s="98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97"/>
      <c r="B542" s="97"/>
      <c r="C542" s="97"/>
      <c r="D542" s="98"/>
      <c r="E542" s="99"/>
      <c r="F542" s="98"/>
      <c r="G542" s="98"/>
      <c r="H542" s="98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97"/>
      <c r="B543" s="97"/>
      <c r="C543" s="97"/>
      <c r="D543" s="98"/>
      <c r="E543" s="99"/>
      <c r="F543" s="98"/>
      <c r="G543" s="98"/>
      <c r="H543" s="98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97"/>
      <c r="B544" s="97"/>
      <c r="C544" s="97"/>
      <c r="D544" s="98"/>
      <c r="E544" s="99"/>
      <c r="F544" s="98"/>
      <c r="G544" s="98"/>
      <c r="H544" s="98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97"/>
      <c r="B545" s="97"/>
      <c r="C545" s="97"/>
      <c r="D545" s="98"/>
      <c r="E545" s="99"/>
      <c r="F545" s="98"/>
      <c r="G545" s="98"/>
      <c r="H545" s="98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97"/>
      <c r="B546" s="97"/>
      <c r="C546" s="97"/>
      <c r="D546" s="98"/>
      <c r="E546" s="99"/>
      <c r="F546" s="98"/>
      <c r="G546" s="98"/>
      <c r="H546" s="98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97"/>
      <c r="B547" s="97"/>
      <c r="C547" s="97"/>
      <c r="D547" s="98"/>
      <c r="E547" s="99"/>
      <c r="F547" s="98"/>
      <c r="G547" s="98"/>
      <c r="H547" s="98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97"/>
      <c r="B548" s="97"/>
      <c r="C548" s="97"/>
      <c r="D548" s="98"/>
      <c r="E548" s="99"/>
      <c r="F548" s="98"/>
      <c r="G548" s="98"/>
      <c r="H548" s="98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97"/>
      <c r="B549" s="97"/>
      <c r="C549" s="97"/>
      <c r="D549" s="98"/>
      <c r="E549" s="99"/>
      <c r="F549" s="98"/>
      <c r="G549" s="98"/>
      <c r="H549" s="98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97"/>
      <c r="B550" s="97"/>
      <c r="C550" s="97"/>
      <c r="D550" s="98"/>
      <c r="E550" s="99"/>
      <c r="F550" s="98"/>
      <c r="G550" s="98"/>
      <c r="H550" s="98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97"/>
      <c r="B551" s="97"/>
      <c r="C551" s="97"/>
      <c r="D551" s="98"/>
      <c r="E551" s="99"/>
      <c r="F551" s="98"/>
      <c r="G551" s="98"/>
      <c r="H551" s="98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97"/>
      <c r="B552" s="97"/>
      <c r="C552" s="97"/>
      <c r="D552" s="98"/>
      <c r="E552" s="99"/>
      <c r="F552" s="98"/>
      <c r="G552" s="98"/>
      <c r="H552" s="98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97"/>
      <c r="B553" s="97"/>
      <c r="C553" s="97"/>
      <c r="D553" s="98"/>
      <c r="E553" s="99"/>
      <c r="F553" s="98"/>
      <c r="G553" s="98"/>
      <c r="H553" s="98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97"/>
      <c r="B554" s="97"/>
      <c r="C554" s="97"/>
      <c r="D554" s="98"/>
      <c r="E554" s="99"/>
      <c r="F554" s="98"/>
      <c r="G554" s="98"/>
      <c r="H554" s="98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97"/>
      <c r="B555" s="97"/>
      <c r="C555" s="97"/>
      <c r="D555" s="98"/>
      <c r="E555" s="99"/>
      <c r="F555" s="98"/>
      <c r="G555" s="98"/>
      <c r="H555" s="98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97"/>
      <c r="B556" s="97"/>
      <c r="C556" s="97"/>
      <c r="D556" s="98"/>
      <c r="E556" s="99"/>
      <c r="F556" s="98"/>
      <c r="G556" s="98"/>
      <c r="H556" s="98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97"/>
      <c r="B557" s="97"/>
      <c r="C557" s="97"/>
      <c r="D557" s="98"/>
      <c r="E557" s="99"/>
      <c r="F557" s="98"/>
      <c r="G557" s="98"/>
      <c r="H557" s="98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97"/>
      <c r="B558" s="97"/>
      <c r="C558" s="97"/>
      <c r="D558" s="98"/>
      <c r="E558" s="99"/>
      <c r="F558" s="98"/>
      <c r="G558" s="98"/>
      <c r="H558" s="98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97"/>
      <c r="B559" s="97"/>
      <c r="C559" s="97"/>
      <c r="D559" s="98"/>
      <c r="E559" s="99"/>
      <c r="F559" s="98"/>
      <c r="G559" s="98"/>
      <c r="H559" s="98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97"/>
      <c r="B560" s="97"/>
      <c r="C560" s="97"/>
      <c r="D560" s="98"/>
      <c r="E560" s="99"/>
      <c r="F560" s="98"/>
      <c r="G560" s="98"/>
      <c r="H560" s="98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97"/>
      <c r="B561" s="97"/>
      <c r="C561" s="97"/>
      <c r="D561" s="98"/>
      <c r="E561" s="99"/>
      <c r="F561" s="98"/>
      <c r="G561" s="98"/>
      <c r="H561" s="98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97"/>
      <c r="B562" s="97"/>
      <c r="C562" s="97"/>
      <c r="D562" s="98"/>
      <c r="E562" s="99"/>
      <c r="F562" s="98"/>
      <c r="G562" s="98"/>
      <c r="H562" s="98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97"/>
      <c r="B563" s="97"/>
      <c r="C563" s="97"/>
      <c r="D563" s="98"/>
      <c r="E563" s="99"/>
      <c r="F563" s="98"/>
      <c r="G563" s="98"/>
      <c r="H563" s="98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97"/>
      <c r="B564" s="97"/>
      <c r="C564" s="97"/>
      <c r="D564" s="98"/>
      <c r="E564" s="99"/>
      <c r="F564" s="98"/>
      <c r="G564" s="98"/>
      <c r="H564" s="98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97"/>
      <c r="B565" s="97"/>
      <c r="C565" s="97"/>
      <c r="D565" s="98"/>
      <c r="E565" s="99"/>
      <c r="F565" s="98"/>
      <c r="G565" s="98"/>
      <c r="H565" s="98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97"/>
      <c r="B566" s="97"/>
      <c r="C566" s="97"/>
      <c r="D566" s="98"/>
      <c r="E566" s="99"/>
      <c r="F566" s="98"/>
      <c r="G566" s="98"/>
      <c r="H566" s="98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97"/>
      <c r="B567" s="97"/>
      <c r="C567" s="97"/>
      <c r="D567" s="98"/>
      <c r="E567" s="99"/>
      <c r="F567" s="98"/>
      <c r="G567" s="98"/>
      <c r="H567" s="98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97"/>
      <c r="B568" s="97"/>
      <c r="C568" s="97"/>
      <c r="D568" s="98"/>
      <c r="E568" s="99"/>
      <c r="F568" s="98"/>
      <c r="G568" s="98"/>
      <c r="H568" s="98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97"/>
      <c r="B569" s="97"/>
      <c r="C569" s="97"/>
      <c r="D569" s="98"/>
      <c r="E569" s="99"/>
      <c r="F569" s="98"/>
      <c r="G569" s="98"/>
      <c r="H569" s="98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97"/>
      <c r="B570" s="97"/>
      <c r="C570" s="97"/>
      <c r="D570" s="98"/>
      <c r="E570" s="99"/>
      <c r="F570" s="98"/>
      <c r="G570" s="98"/>
      <c r="H570" s="98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97"/>
      <c r="B571" s="97"/>
      <c r="C571" s="97"/>
      <c r="D571" s="98"/>
      <c r="E571" s="99"/>
      <c r="F571" s="98"/>
      <c r="G571" s="98"/>
      <c r="H571" s="98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97"/>
      <c r="B572" s="97"/>
      <c r="C572" s="97"/>
      <c r="D572" s="98"/>
      <c r="E572" s="99"/>
      <c r="F572" s="98"/>
      <c r="G572" s="98"/>
      <c r="H572" s="98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97"/>
      <c r="B573" s="97"/>
      <c r="C573" s="97"/>
      <c r="D573" s="98"/>
      <c r="E573" s="99"/>
      <c r="F573" s="98"/>
      <c r="G573" s="98"/>
      <c r="H573" s="98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97"/>
      <c r="B574" s="97"/>
      <c r="C574" s="97"/>
      <c r="D574" s="98"/>
      <c r="E574" s="99"/>
      <c r="F574" s="98"/>
      <c r="G574" s="98"/>
      <c r="H574" s="98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97"/>
      <c r="B575" s="97"/>
      <c r="C575" s="97"/>
      <c r="D575" s="98"/>
      <c r="E575" s="99"/>
      <c r="F575" s="98"/>
      <c r="G575" s="98"/>
      <c r="H575" s="98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97"/>
      <c r="B576" s="97"/>
      <c r="C576" s="97"/>
      <c r="D576" s="98"/>
      <c r="E576" s="99"/>
      <c r="F576" s="98"/>
      <c r="G576" s="98"/>
      <c r="H576" s="98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97"/>
      <c r="B577" s="97"/>
      <c r="C577" s="97"/>
      <c r="D577" s="98"/>
      <c r="E577" s="99"/>
      <c r="F577" s="98"/>
      <c r="G577" s="98"/>
      <c r="H577" s="98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97"/>
      <c r="B578" s="97"/>
      <c r="C578" s="97"/>
      <c r="D578" s="98"/>
      <c r="E578" s="99"/>
      <c r="F578" s="98"/>
      <c r="G578" s="98"/>
      <c r="H578" s="98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97"/>
      <c r="B579" s="97"/>
      <c r="C579" s="97"/>
      <c r="D579" s="98"/>
      <c r="E579" s="99"/>
      <c r="F579" s="98"/>
      <c r="G579" s="98"/>
      <c r="H579" s="98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97"/>
      <c r="B580" s="97"/>
      <c r="C580" s="97"/>
      <c r="D580" s="98"/>
      <c r="E580" s="99"/>
      <c r="F580" s="98"/>
      <c r="G580" s="98"/>
      <c r="H580" s="98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97"/>
      <c r="B581" s="97"/>
      <c r="C581" s="97"/>
      <c r="D581" s="98"/>
      <c r="E581" s="99"/>
      <c r="F581" s="98"/>
      <c r="G581" s="98"/>
      <c r="H581" s="98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97"/>
      <c r="B582" s="97"/>
      <c r="C582" s="97"/>
      <c r="D582" s="98"/>
      <c r="E582" s="99"/>
      <c r="F582" s="98"/>
      <c r="G582" s="98"/>
      <c r="H582" s="98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97"/>
      <c r="B583" s="97"/>
      <c r="C583" s="97"/>
      <c r="D583" s="98"/>
      <c r="E583" s="99"/>
      <c r="F583" s="98"/>
      <c r="G583" s="98"/>
      <c r="H583" s="98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97"/>
      <c r="B584" s="97"/>
      <c r="C584" s="97"/>
      <c r="D584" s="98"/>
      <c r="E584" s="99"/>
      <c r="F584" s="98"/>
      <c r="G584" s="98"/>
      <c r="H584" s="98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97"/>
      <c r="B585" s="97"/>
      <c r="C585" s="97"/>
      <c r="D585" s="98"/>
      <c r="E585" s="99"/>
      <c r="F585" s="98"/>
      <c r="G585" s="98"/>
      <c r="H585" s="98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97"/>
      <c r="B586" s="97"/>
      <c r="C586" s="97"/>
      <c r="D586" s="98"/>
      <c r="E586" s="99"/>
      <c r="F586" s="98"/>
      <c r="G586" s="98"/>
      <c r="H586" s="98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97"/>
      <c r="B587" s="97"/>
      <c r="C587" s="97"/>
      <c r="D587" s="98"/>
      <c r="E587" s="99"/>
      <c r="F587" s="98"/>
      <c r="G587" s="98"/>
      <c r="H587" s="98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97"/>
      <c r="B588" s="97"/>
      <c r="C588" s="97"/>
      <c r="D588" s="98"/>
      <c r="E588" s="99"/>
      <c r="F588" s="98"/>
      <c r="G588" s="98"/>
      <c r="H588" s="98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97"/>
      <c r="B589" s="97"/>
      <c r="C589" s="97"/>
      <c r="D589" s="98"/>
      <c r="E589" s="99"/>
      <c r="F589" s="98"/>
      <c r="G589" s="98"/>
      <c r="H589" s="98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97"/>
      <c r="B590" s="97"/>
      <c r="C590" s="97"/>
      <c r="D590" s="98"/>
      <c r="E590" s="99"/>
      <c r="F590" s="98"/>
      <c r="G590" s="98"/>
      <c r="H590" s="98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97"/>
      <c r="B591" s="97"/>
      <c r="C591" s="97"/>
      <c r="D591" s="98"/>
      <c r="E591" s="99"/>
      <c r="F591" s="98"/>
      <c r="G591" s="98"/>
      <c r="H591" s="98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97"/>
      <c r="B592" s="97"/>
      <c r="C592" s="97"/>
      <c r="D592" s="98"/>
      <c r="E592" s="99"/>
      <c r="F592" s="98"/>
      <c r="G592" s="98"/>
      <c r="H592" s="98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97"/>
      <c r="B593" s="97"/>
      <c r="C593" s="97"/>
      <c r="D593" s="98"/>
      <c r="E593" s="99"/>
      <c r="F593" s="98"/>
      <c r="G593" s="98"/>
      <c r="H593" s="98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97"/>
      <c r="B594" s="97"/>
      <c r="C594" s="97"/>
      <c r="D594" s="98"/>
      <c r="E594" s="99"/>
      <c r="F594" s="98"/>
      <c r="G594" s="98"/>
      <c r="H594" s="98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97"/>
      <c r="B595" s="97"/>
      <c r="C595" s="97"/>
      <c r="D595" s="98"/>
      <c r="E595" s="99"/>
      <c r="F595" s="98"/>
      <c r="G595" s="98"/>
      <c r="H595" s="98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97"/>
      <c r="B596" s="97"/>
      <c r="C596" s="97"/>
      <c r="D596" s="98"/>
      <c r="E596" s="99"/>
      <c r="F596" s="98"/>
      <c r="G596" s="98"/>
      <c r="H596" s="98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97"/>
      <c r="B597" s="97"/>
      <c r="C597" s="97"/>
      <c r="D597" s="98"/>
      <c r="E597" s="99"/>
      <c r="F597" s="98"/>
      <c r="G597" s="98"/>
      <c r="H597" s="98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97"/>
      <c r="B598" s="97"/>
      <c r="C598" s="97"/>
      <c r="D598" s="98"/>
      <c r="E598" s="99"/>
      <c r="F598" s="98"/>
      <c r="G598" s="98"/>
      <c r="H598" s="98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97"/>
      <c r="B599" s="97"/>
      <c r="C599" s="97"/>
      <c r="D599" s="98"/>
      <c r="E599" s="99"/>
      <c r="F599" s="98"/>
      <c r="G599" s="98"/>
      <c r="H599" s="98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97"/>
      <c r="B600" s="97"/>
      <c r="C600" s="97"/>
      <c r="D600" s="98"/>
      <c r="E600" s="99"/>
      <c r="F600" s="98"/>
      <c r="G600" s="98"/>
      <c r="H600" s="98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97"/>
      <c r="B601" s="97"/>
      <c r="C601" s="97"/>
      <c r="D601" s="98"/>
      <c r="E601" s="99"/>
      <c r="F601" s="98"/>
      <c r="G601" s="98"/>
      <c r="H601" s="98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97"/>
      <c r="B602" s="97"/>
      <c r="C602" s="97"/>
      <c r="D602" s="98"/>
      <c r="E602" s="99"/>
      <c r="F602" s="98"/>
      <c r="G602" s="98"/>
      <c r="H602" s="98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97"/>
      <c r="B603" s="97"/>
      <c r="C603" s="97"/>
      <c r="D603" s="98"/>
      <c r="E603" s="99"/>
      <c r="F603" s="98"/>
      <c r="G603" s="98"/>
      <c r="H603" s="98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97"/>
      <c r="B604" s="97"/>
      <c r="C604" s="97"/>
      <c r="D604" s="98"/>
      <c r="E604" s="99"/>
      <c r="F604" s="98"/>
      <c r="G604" s="98"/>
      <c r="H604" s="98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97"/>
      <c r="B605" s="97"/>
      <c r="C605" s="97"/>
      <c r="D605" s="98"/>
      <c r="E605" s="99"/>
      <c r="F605" s="98"/>
      <c r="G605" s="98"/>
      <c r="H605" s="98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97"/>
      <c r="B606" s="97"/>
      <c r="C606" s="97"/>
      <c r="D606" s="98"/>
      <c r="E606" s="99"/>
      <c r="F606" s="98"/>
      <c r="G606" s="98"/>
      <c r="H606" s="98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97"/>
      <c r="B607" s="97"/>
      <c r="C607" s="97"/>
      <c r="D607" s="98"/>
      <c r="E607" s="99"/>
      <c r="F607" s="98"/>
      <c r="G607" s="98"/>
      <c r="H607" s="98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97"/>
      <c r="B608" s="97"/>
      <c r="C608" s="97"/>
      <c r="D608" s="98"/>
      <c r="E608" s="99"/>
      <c r="F608" s="98"/>
      <c r="G608" s="98"/>
      <c r="H608" s="98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97"/>
      <c r="B609" s="97"/>
      <c r="C609" s="97"/>
      <c r="D609" s="98"/>
      <c r="E609" s="99"/>
      <c r="F609" s="98"/>
      <c r="G609" s="98"/>
      <c r="H609" s="98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97"/>
      <c r="B610" s="97"/>
      <c r="C610" s="97"/>
      <c r="D610" s="98"/>
      <c r="E610" s="99"/>
      <c r="F610" s="98"/>
      <c r="G610" s="98"/>
      <c r="H610" s="98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97"/>
      <c r="B611" s="97"/>
      <c r="C611" s="97"/>
      <c r="D611" s="98"/>
      <c r="E611" s="99"/>
      <c r="F611" s="98"/>
      <c r="G611" s="98"/>
      <c r="H611" s="98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97"/>
      <c r="B612" s="97"/>
      <c r="C612" s="97"/>
      <c r="D612" s="98"/>
      <c r="E612" s="99"/>
      <c r="F612" s="98"/>
      <c r="G612" s="98"/>
      <c r="H612" s="98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97"/>
      <c r="B613" s="97"/>
      <c r="C613" s="97"/>
      <c r="D613" s="98"/>
      <c r="E613" s="99"/>
      <c r="F613" s="98"/>
      <c r="G613" s="98"/>
      <c r="H613" s="98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97"/>
      <c r="B614" s="97"/>
      <c r="C614" s="97"/>
      <c r="D614" s="98"/>
      <c r="E614" s="99"/>
      <c r="F614" s="98"/>
      <c r="G614" s="98"/>
      <c r="H614" s="98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97"/>
      <c r="B615" s="97"/>
      <c r="C615" s="97"/>
      <c r="D615" s="98"/>
      <c r="E615" s="99"/>
      <c r="F615" s="98"/>
      <c r="G615" s="98"/>
      <c r="H615" s="98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97"/>
      <c r="B616" s="97"/>
      <c r="C616" s="97"/>
      <c r="D616" s="98"/>
      <c r="E616" s="99"/>
      <c r="F616" s="98"/>
      <c r="G616" s="98"/>
      <c r="H616" s="98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97"/>
      <c r="B617" s="97"/>
      <c r="C617" s="97"/>
      <c r="D617" s="98"/>
      <c r="E617" s="99"/>
      <c r="F617" s="98"/>
      <c r="G617" s="98"/>
      <c r="H617" s="98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97"/>
      <c r="B618" s="97"/>
      <c r="C618" s="97"/>
      <c r="D618" s="98"/>
      <c r="E618" s="99"/>
      <c r="F618" s="98"/>
      <c r="G618" s="98"/>
      <c r="H618" s="98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97"/>
      <c r="B619" s="97"/>
      <c r="C619" s="97"/>
      <c r="D619" s="98"/>
      <c r="E619" s="99"/>
      <c r="F619" s="98"/>
      <c r="G619" s="98"/>
      <c r="H619" s="98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97"/>
      <c r="B620" s="97"/>
      <c r="C620" s="97"/>
      <c r="D620" s="98"/>
      <c r="E620" s="99"/>
      <c r="F620" s="98"/>
      <c r="G620" s="98"/>
      <c r="H620" s="98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97"/>
      <c r="B621" s="97"/>
      <c r="C621" s="97"/>
      <c r="D621" s="98"/>
      <c r="E621" s="99"/>
      <c r="F621" s="98"/>
      <c r="G621" s="98"/>
      <c r="H621" s="98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97"/>
      <c r="B622" s="97"/>
      <c r="C622" s="97"/>
      <c r="D622" s="98"/>
      <c r="E622" s="99"/>
      <c r="F622" s="98"/>
      <c r="G622" s="98"/>
      <c r="H622" s="98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97"/>
      <c r="B623" s="97"/>
      <c r="C623" s="97"/>
      <c r="D623" s="98"/>
      <c r="E623" s="99"/>
      <c r="F623" s="98"/>
      <c r="G623" s="98"/>
      <c r="H623" s="98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97"/>
      <c r="B624" s="97"/>
      <c r="C624" s="97"/>
      <c r="D624" s="98"/>
      <c r="E624" s="99"/>
      <c r="F624" s="98"/>
      <c r="G624" s="98"/>
      <c r="H624" s="98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97"/>
      <c r="B625" s="97"/>
      <c r="C625" s="97"/>
      <c r="D625" s="98"/>
      <c r="E625" s="99"/>
      <c r="F625" s="98"/>
      <c r="G625" s="98"/>
      <c r="H625" s="98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97"/>
      <c r="B626" s="97"/>
      <c r="C626" s="97"/>
      <c r="D626" s="98"/>
      <c r="E626" s="99"/>
      <c r="F626" s="98"/>
      <c r="G626" s="98"/>
      <c r="H626" s="98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97"/>
      <c r="B627" s="97"/>
      <c r="C627" s="97"/>
      <c r="D627" s="98"/>
      <c r="E627" s="99"/>
      <c r="F627" s="98"/>
      <c r="G627" s="98"/>
      <c r="H627" s="98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97"/>
      <c r="B628" s="97"/>
      <c r="C628" s="97"/>
      <c r="D628" s="98"/>
      <c r="E628" s="99"/>
      <c r="F628" s="98"/>
      <c r="G628" s="98"/>
      <c r="H628" s="98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97"/>
      <c r="B629" s="97"/>
      <c r="C629" s="97"/>
      <c r="D629" s="98"/>
      <c r="E629" s="99"/>
      <c r="F629" s="98"/>
      <c r="G629" s="98"/>
      <c r="H629" s="98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97"/>
      <c r="B630" s="97"/>
      <c r="C630" s="97"/>
      <c r="D630" s="98"/>
      <c r="E630" s="99"/>
      <c r="F630" s="98"/>
      <c r="G630" s="98"/>
      <c r="H630" s="98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97"/>
      <c r="B631" s="97"/>
      <c r="C631" s="97"/>
      <c r="D631" s="98"/>
      <c r="E631" s="99"/>
      <c r="F631" s="98"/>
      <c r="G631" s="98"/>
      <c r="H631" s="98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97"/>
      <c r="B632" s="97"/>
      <c r="C632" s="97"/>
      <c r="D632" s="98"/>
      <c r="E632" s="99"/>
      <c r="F632" s="98"/>
      <c r="G632" s="98"/>
      <c r="H632" s="98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97"/>
      <c r="B633" s="97"/>
      <c r="C633" s="97"/>
      <c r="D633" s="98"/>
      <c r="E633" s="99"/>
      <c r="F633" s="98"/>
      <c r="G633" s="98"/>
      <c r="H633" s="98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97"/>
      <c r="B634" s="97"/>
      <c r="C634" s="97"/>
      <c r="D634" s="98"/>
      <c r="E634" s="99"/>
      <c r="F634" s="98"/>
      <c r="G634" s="98"/>
      <c r="H634" s="98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97"/>
      <c r="B635" s="97"/>
      <c r="C635" s="97"/>
      <c r="D635" s="98"/>
      <c r="E635" s="99"/>
      <c r="F635" s="98"/>
      <c r="G635" s="98"/>
      <c r="H635" s="98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97"/>
      <c r="B636" s="97"/>
      <c r="C636" s="97"/>
      <c r="D636" s="98"/>
      <c r="E636" s="99"/>
      <c r="F636" s="98"/>
      <c r="G636" s="98"/>
      <c r="H636" s="98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97"/>
      <c r="B637" s="97"/>
      <c r="C637" s="97"/>
      <c r="D637" s="98"/>
      <c r="E637" s="99"/>
      <c r="F637" s="98"/>
      <c r="G637" s="98"/>
      <c r="H637" s="98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97"/>
      <c r="B638" s="97"/>
      <c r="C638" s="97"/>
      <c r="D638" s="98"/>
      <c r="E638" s="99"/>
      <c r="F638" s="98"/>
      <c r="G638" s="98"/>
      <c r="H638" s="98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97"/>
      <c r="B639" s="97"/>
      <c r="C639" s="97"/>
      <c r="D639" s="98"/>
      <c r="E639" s="99"/>
      <c r="F639" s="98"/>
      <c r="G639" s="98"/>
      <c r="H639" s="98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97"/>
      <c r="B640" s="97"/>
      <c r="C640" s="97"/>
      <c r="D640" s="98"/>
      <c r="E640" s="99"/>
      <c r="F640" s="98"/>
      <c r="G640" s="98"/>
      <c r="H640" s="98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97"/>
      <c r="B641" s="97"/>
      <c r="C641" s="97"/>
      <c r="D641" s="98"/>
      <c r="E641" s="99"/>
      <c r="F641" s="98"/>
      <c r="G641" s="98"/>
      <c r="H641" s="98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97"/>
      <c r="B642" s="97"/>
      <c r="C642" s="97"/>
      <c r="D642" s="98"/>
      <c r="E642" s="99"/>
      <c r="F642" s="98"/>
      <c r="G642" s="98"/>
      <c r="H642" s="98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97"/>
      <c r="B643" s="97"/>
      <c r="C643" s="97"/>
      <c r="D643" s="98"/>
      <c r="E643" s="99"/>
      <c r="F643" s="98"/>
      <c r="G643" s="98"/>
      <c r="H643" s="98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97"/>
      <c r="B644" s="97"/>
      <c r="C644" s="97"/>
      <c r="D644" s="98"/>
      <c r="E644" s="99"/>
      <c r="F644" s="98"/>
      <c r="G644" s="98"/>
      <c r="H644" s="98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97"/>
      <c r="B645" s="97"/>
      <c r="C645" s="97"/>
      <c r="D645" s="98"/>
      <c r="E645" s="99"/>
      <c r="F645" s="98"/>
      <c r="G645" s="98"/>
      <c r="H645" s="98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97"/>
      <c r="B646" s="97"/>
      <c r="C646" s="97"/>
      <c r="D646" s="98"/>
      <c r="E646" s="99"/>
      <c r="F646" s="98"/>
      <c r="G646" s="98"/>
      <c r="H646" s="98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97"/>
      <c r="B647" s="97"/>
      <c r="C647" s="97"/>
      <c r="D647" s="98"/>
      <c r="E647" s="99"/>
      <c r="F647" s="98"/>
      <c r="G647" s="98"/>
      <c r="H647" s="98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97"/>
      <c r="B648" s="97"/>
      <c r="C648" s="97"/>
      <c r="D648" s="98"/>
      <c r="E648" s="99"/>
      <c r="F648" s="98"/>
      <c r="G648" s="98"/>
      <c r="H648" s="98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97"/>
      <c r="B649" s="97"/>
      <c r="C649" s="97"/>
      <c r="D649" s="98"/>
      <c r="E649" s="99"/>
      <c r="F649" s="98"/>
      <c r="G649" s="98"/>
      <c r="H649" s="98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97"/>
      <c r="B650" s="97"/>
      <c r="C650" s="97"/>
      <c r="D650" s="98"/>
      <c r="E650" s="99"/>
      <c r="F650" s="98"/>
      <c r="G650" s="98"/>
      <c r="H650" s="98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97"/>
      <c r="B651" s="97"/>
      <c r="C651" s="97"/>
      <c r="D651" s="98"/>
      <c r="E651" s="99"/>
      <c r="F651" s="98"/>
      <c r="G651" s="98"/>
      <c r="H651" s="98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97"/>
      <c r="B652" s="97"/>
      <c r="C652" s="97"/>
      <c r="D652" s="98"/>
      <c r="E652" s="99"/>
      <c r="F652" s="98"/>
      <c r="G652" s="98"/>
      <c r="H652" s="98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97"/>
      <c r="B653" s="97"/>
      <c r="C653" s="97"/>
      <c r="D653" s="98"/>
      <c r="E653" s="99"/>
      <c r="F653" s="98"/>
      <c r="G653" s="98"/>
      <c r="H653" s="98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97"/>
      <c r="B654" s="97"/>
      <c r="C654" s="97"/>
      <c r="D654" s="98"/>
      <c r="E654" s="99"/>
      <c r="F654" s="98"/>
      <c r="G654" s="98"/>
      <c r="H654" s="98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97"/>
      <c r="B655" s="97"/>
      <c r="C655" s="97"/>
      <c r="D655" s="98"/>
      <c r="E655" s="99"/>
      <c r="F655" s="98"/>
      <c r="G655" s="98"/>
      <c r="H655" s="98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97"/>
      <c r="B656" s="97"/>
      <c r="C656" s="97"/>
      <c r="D656" s="98"/>
      <c r="E656" s="99"/>
      <c r="F656" s="98"/>
      <c r="G656" s="98"/>
      <c r="H656" s="98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97"/>
      <c r="B657" s="97"/>
      <c r="C657" s="97"/>
      <c r="D657" s="98"/>
      <c r="E657" s="99"/>
      <c r="F657" s="98"/>
      <c r="G657" s="98"/>
      <c r="H657" s="98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97"/>
      <c r="B658" s="97"/>
      <c r="C658" s="97"/>
      <c r="D658" s="98"/>
      <c r="E658" s="99"/>
      <c r="F658" s="98"/>
      <c r="G658" s="98"/>
      <c r="H658" s="98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97"/>
      <c r="B659" s="97"/>
      <c r="C659" s="97"/>
      <c r="D659" s="98"/>
      <c r="E659" s="99"/>
      <c r="F659" s="98"/>
      <c r="G659" s="98"/>
      <c r="H659" s="98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97"/>
      <c r="B660" s="97"/>
      <c r="C660" s="97"/>
      <c r="D660" s="98"/>
      <c r="E660" s="99"/>
      <c r="F660" s="98"/>
      <c r="G660" s="98"/>
      <c r="H660" s="98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97"/>
      <c r="B661" s="97"/>
      <c r="C661" s="97"/>
      <c r="D661" s="98"/>
      <c r="E661" s="99"/>
      <c r="F661" s="98"/>
      <c r="G661" s="98"/>
      <c r="H661" s="98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97"/>
      <c r="B662" s="97"/>
      <c r="C662" s="97"/>
      <c r="D662" s="98"/>
      <c r="E662" s="99"/>
      <c r="F662" s="98"/>
      <c r="G662" s="98"/>
      <c r="H662" s="98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97"/>
      <c r="B663" s="97"/>
      <c r="C663" s="97"/>
      <c r="D663" s="98"/>
      <c r="E663" s="99"/>
      <c r="F663" s="98"/>
      <c r="G663" s="98"/>
      <c r="H663" s="98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97"/>
      <c r="B664" s="97"/>
      <c r="C664" s="97"/>
      <c r="D664" s="98"/>
      <c r="E664" s="99"/>
      <c r="F664" s="98"/>
      <c r="G664" s="98"/>
      <c r="H664" s="98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97"/>
      <c r="B665" s="97"/>
      <c r="C665" s="97"/>
      <c r="D665" s="98"/>
      <c r="E665" s="99"/>
      <c r="F665" s="98"/>
      <c r="G665" s="98"/>
      <c r="H665" s="98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97"/>
      <c r="B666" s="97"/>
      <c r="C666" s="97"/>
      <c r="D666" s="98"/>
      <c r="E666" s="99"/>
      <c r="F666" s="98"/>
      <c r="G666" s="98"/>
      <c r="H666" s="98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97"/>
      <c r="B667" s="97"/>
      <c r="C667" s="97"/>
      <c r="D667" s="98"/>
      <c r="E667" s="99"/>
      <c r="F667" s="98"/>
      <c r="G667" s="98"/>
      <c r="H667" s="98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97"/>
      <c r="B668" s="97"/>
      <c r="C668" s="97"/>
      <c r="D668" s="98"/>
      <c r="E668" s="99"/>
      <c r="F668" s="98"/>
      <c r="G668" s="98"/>
      <c r="H668" s="98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97"/>
      <c r="B669" s="97"/>
      <c r="C669" s="97"/>
      <c r="D669" s="98"/>
      <c r="E669" s="99"/>
      <c r="F669" s="98"/>
      <c r="G669" s="98"/>
      <c r="H669" s="98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97"/>
      <c r="B670" s="97"/>
      <c r="C670" s="97"/>
      <c r="D670" s="98"/>
      <c r="E670" s="99"/>
      <c r="F670" s="98"/>
      <c r="G670" s="98"/>
      <c r="H670" s="98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97"/>
      <c r="B671" s="97"/>
      <c r="C671" s="97"/>
      <c r="D671" s="98"/>
      <c r="E671" s="99"/>
      <c r="F671" s="98"/>
      <c r="G671" s="98"/>
      <c r="H671" s="98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97"/>
      <c r="B672" s="97"/>
      <c r="C672" s="97"/>
      <c r="D672" s="98"/>
      <c r="E672" s="99"/>
      <c r="F672" s="98"/>
      <c r="G672" s="98"/>
      <c r="H672" s="98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97"/>
      <c r="B673" s="97"/>
      <c r="C673" s="97"/>
      <c r="D673" s="98"/>
      <c r="E673" s="99"/>
      <c r="F673" s="98"/>
      <c r="G673" s="98"/>
      <c r="H673" s="98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97"/>
      <c r="B674" s="97"/>
      <c r="C674" s="97"/>
      <c r="D674" s="98"/>
      <c r="E674" s="99"/>
      <c r="F674" s="98"/>
      <c r="G674" s="98"/>
      <c r="H674" s="98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97"/>
      <c r="B675" s="97"/>
      <c r="C675" s="97"/>
      <c r="D675" s="98"/>
      <c r="E675" s="99"/>
      <c r="F675" s="98"/>
      <c r="G675" s="98"/>
      <c r="H675" s="98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97"/>
      <c r="B676" s="97"/>
      <c r="C676" s="97"/>
      <c r="D676" s="98"/>
      <c r="E676" s="99"/>
      <c r="F676" s="98"/>
      <c r="G676" s="98"/>
      <c r="H676" s="98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97"/>
      <c r="B677" s="97"/>
      <c r="C677" s="97"/>
      <c r="D677" s="98"/>
      <c r="E677" s="99"/>
      <c r="F677" s="98"/>
      <c r="G677" s="98"/>
      <c r="H677" s="98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97"/>
      <c r="B678" s="97"/>
      <c r="C678" s="97"/>
      <c r="D678" s="98"/>
      <c r="E678" s="99"/>
      <c r="F678" s="98"/>
      <c r="G678" s="98"/>
      <c r="H678" s="98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97"/>
      <c r="B679" s="97"/>
      <c r="C679" s="97"/>
      <c r="D679" s="98"/>
      <c r="E679" s="99"/>
      <c r="F679" s="98"/>
      <c r="G679" s="98"/>
      <c r="H679" s="98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97"/>
      <c r="B680" s="97"/>
      <c r="C680" s="97"/>
      <c r="D680" s="98"/>
      <c r="E680" s="99"/>
      <c r="F680" s="98"/>
      <c r="G680" s="98"/>
      <c r="H680" s="98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97"/>
      <c r="B681" s="97"/>
      <c r="C681" s="97"/>
      <c r="D681" s="98"/>
      <c r="E681" s="99"/>
      <c r="F681" s="98"/>
      <c r="G681" s="98"/>
      <c r="H681" s="98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97"/>
      <c r="B682" s="97"/>
      <c r="C682" s="97"/>
      <c r="D682" s="98"/>
      <c r="E682" s="99"/>
      <c r="F682" s="98"/>
      <c r="G682" s="98"/>
      <c r="H682" s="98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97"/>
      <c r="B683" s="97"/>
      <c r="C683" s="97"/>
      <c r="D683" s="98"/>
      <c r="E683" s="99"/>
      <c r="F683" s="98"/>
      <c r="G683" s="98"/>
      <c r="H683" s="98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97"/>
      <c r="B684" s="97"/>
      <c r="C684" s="97"/>
      <c r="D684" s="98"/>
      <c r="E684" s="99"/>
      <c r="F684" s="98"/>
      <c r="G684" s="98"/>
      <c r="H684" s="98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97"/>
      <c r="B685" s="97"/>
      <c r="C685" s="97"/>
      <c r="D685" s="98"/>
      <c r="E685" s="99"/>
      <c r="F685" s="98"/>
      <c r="G685" s="98"/>
      <c r="H685" s="98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97"/>
      <c r="B686" s="97"/>
      <c r="C686" s="97"/>
      <c r="D686" s="98"/>
      <c r="E686" s="99"/>
      <c r="F686" s="98"/>
      <c r="G686" s="98"/>
      <c r="H686" s="98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97"/>
      <c r="B687" s="97"/>
      <c r="C687" s="97"/>
      <c r="D687" s="98"/>
      <c r="E687" s="99"/>
      <c r="F687" s="98"/>
      <c r="G687" s="98"/>
      <c r="H687" s="98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97"/>
      <c r="B688" s="97"/>
      <c r="C688" s="97"/>
      <c r="D688" s="98"/>
      <c r="E688" s="99"/>
      <c r="F688" s="98"/>
      <c r="G688" s="98"/>
      <c r="H688" s="98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97"/>
      <c r="B689" s="97"/>
      <c r="C689" s="97"/>
      <c r="D689" s="98"/>
      <c r="E689" s="99"/>
      <c r="F689" s="98"/>
      <c r="G689" s="98"/>
      <c r="H689" s="98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97"/>
      <c r="B690" s="97"/>
      <c r="C690" s="97"/>
      <c r="D690" s="98"/>
      <c r="E690" s="99"/>
      <c r="F690" s="98"/>
      <c r="G690" s="98"/>
      <c r="H690" s="98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97"/>
      <c r="B691" s="97"/>
      <c r="C691" s="97"/>
      <c r="D691" s="98"/>
      <c r="E691" s="99"/>
      <c r="F691" s="98"/>
      <c r="G691" s="98"/>
      <c r="H691" s="98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97"/>
      <c r="B692" s="97"/>
      <c r="C692" s="97"/>
      <c r="D692" s="98"/>
      <c r="E692" s="99"/>
      <c r="F692" s="98"/>
      <c r="G692" s="98"/>
      <c r="H692" s="98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97"/>
      <c r="B693" s="97"/>
      <c r="C693" s="97"/>
      <c r="D693" s="98"/>
      <c r="E693" s="99"/>
      <c r="F693" s="98"/>
      <c r="G693" s="98"/>
      <c r="H693" s="98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97"/>
      <c r="B694" s="97"/>
      <c r="C694" s="97"/>
      <c r="D694" s="98"/>
      <c r="E694" s="99"/>
      <c r="F694" s="98"/>
      <c r="G694" s="98"/>
      <c r="H694" s="98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97"/>
      <c r="B695" s="97"/>
      <c r="C695" s="97"/>
      <c r="D695" s="98"/>
      <c r="E695" s="99"/>
      <c r="F695" s="98"/>
      <c r="G695" s="98"/>
      <c r="H695" s="98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97"/>
      <c r="B696" s="97"/>
      <c r="C696" s="97"/>
      <c r="D696" s="98"/>
      <c r="E696" s="99"/>
      <c r="F696" s="98"/>
      <c r="G696" s="98"/>
      <c r="H696" s="98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97"/>
      <c r="B697" s="97"/>
      <c r="C697" s="97"/>
      <c r="D697" s="98"/>
      <c r="E697" s="99"/>
      <c r="F697" s="98"/>
      <c r="G697" s="98"/>
      <c r="H697" s="98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97"/>
      <c r="B698" s="97"/>
      <c r="C698" s="97"/>
      <c r="D698" s="98"/>
      <c r="E698" s="99"/>
      <c r="F698" s="98"/>
      <c r="G698" s="98"/>
      <c r="H698" s="98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97"/>
      <c r="B699" s="97"/>
      <c r="C699" s="97"/>
      <c r="D699" s="98"/>
      <c r="E699" s="99"/>
      <c r="F699" s="98"/>
      <c r="G699" s="98"/>
      <c r="H699" s="98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97"/>
      <c r="B700" s="97"/>
      <c r="C700" s="97"/>
      <c r="D700" s="98"/>
      <c r="E700" s="99"/>
      <c r="F700" s="98"/>
      <c r="G700" s="98"/>
      <c r="H700" s="98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97"/>
      <c r="B701" s="97"/>
      <c r="C701" s="97"/>
      <c r="D701" s="98"/>
      <c r="E701" s="99"/>
      <c r="F701" s="98"/>
      <c r="G701" s="98"/>
      <c r="H701" s="98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97"/>
      <c r="B702" s="97"/>
      <c r="C702" s="97"/>
      <c r="D702" s="98"/>
      <c r="E702" s="99"/>
      <c r="F702" s="98"/>
      <c r="G702" s="98"/>
      <c r="H702" s="98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97"/>
      <c r="B703" s="97"/>
      <c r="C703" s="97"/>
      <c r="D703" s="98"/>
      <c r="E703" s="99"/>
      <c r="F703" s="98"/>
      <c r="G703" s="98"/>
      <c r="H703" s="98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97"/>
      <c r="B704" s="97"/>
      <c r="C704" s="97"/>
      <c r="D704" s="98"/>
      <c r="E704" s="99"/>
      <c r="F704" s="98"/>
      <c r="G704" s="98"/>
      <c r="H704" s="98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97"/>
      <c r="B705" s="97"/>
      <c r="C705" s="97"/>
      <c r="D705" s="98"/>
      <c r="E705" s="99"/>
      <c r="F705" s="98"/>
      <c r="G705" s="98"/>
      <c r="H705" s="98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97"/>
      <c r="B706" s="97"/>
      <c r="C706" s="97"/>
      <c r="D706" s="98"/>
      <c r="E706" s="99"/>
      <c r="F706" s="98"/>
      <c r="G706" s="98"/>
      <c r="H706" s="98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97"/>
      <c r="B707" s="97"/>
      <c r="C707" s="97"/>
      <c r="D707" s="98"/>
      <c r="E707" s="99"/>
      <c r="F707" s="98"/>
      <c r="G707" s="98"/>
      <c r="H707" s="98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97"/>
      <c r="B708" s="97"/>
      <c r="C708" s="97"/>
      <c r="D708" s="98"/>
      <c r="E708" s="99"/>
      <c r="F708" s="98"/>
      <c r="G708" s="98"/>
      <c r="H708" s="98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97"/>
      <c r="B709" s="97"/>
      <c r="C709" s="97"/>
      <c r="D709" s="98"/>
      <c r="E709" s="99"/>
      <c r="F709" s="98"/>
      <c r="G709" s="98"/>
      <c r="H709" s="98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97"/>
      <c r="B710" s="97"/>
      <c r="C710" s="97"/>
      <c r="D710" s="98"/>
      <c r="E710" s="99"/>
      <c r="F710" s="98"/>
      <c r="G710" s="98"/>
      <c r="H710" s="98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97"/>
      <c r="B711" s="97"/>
      <c r="C711" s="97"/>
      <c r="D711" s="98"/>
      <c r="E711" s="99"/>
      <c r="F711" s="98"/>
      <c r="G711" s="98"/>
      <c r="H711" s="98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97"/>
      <c r="B712" s="97"/>
      <c r="C712" s="97"/>
      <c r="D712" s="98"/>
      <c r="E712" s="99"/>
      <c r="F712" s="98"/>
      <c r="G712" s="98"/>
      <c r="H712" s="98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97"/>
      <c r="B713" s="97"/>
      <c r="C713" s="97"/>
      <c r="D713" s="98"/>
      <c r="E713" s="99"/>
      <c r="F713" s="98"/>
      <c r="G713" s="98"/>
      <c r="H713" s="98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97"/>
      <c r="B714" s="97"/>
      <c r="C714" s="97"/>
      <c r="D714" s="98"/>
      <c r="E714" s="99"/>
      <c r="F714" s="98"/>
      <c r="G714" s="98"/>
      <c r="H714" s="98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97"/>
      <c r="B715" s="97"/>
      <c r="C715" s="97"/>
      <c r="D715" s="98"/>
      <c r="E715" s="99"/>
      <c r="F715" s="98"/>
      <c r="G715" s="98"/>
      <c r="H715" s="98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97"/>
      <c r="B716" s="97"/>
      <c r="C716" s="97"/>
      <c r="D716" s="98"/>
      <c r="E716" s="99"/>
      <c r="F716" s="98"/>
      <c r="G716" s="98"/>
      <c r="H716" s="98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97"/>
      <c r="B717" s="97"/>
      <c r="C717" s="97"/>
      <c r="D717" s="98"/>
      <c r="E717" s="99"/>
      <c r="F717" s="98"/>
      <c r="G717" s="98"/>
      <c r="H717" s="98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97"/>
      <c r="B718" s="97"/>
      <c r="C718" s="97"/>
      <c r="D718" s="98"/>
      <c r="E718" s="99"/>
      <c r="F718" s="98"/>
      <c r="G718" s="98"/>
      <c r="H718" s="98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97"/>
      <c r="B719" s="97"/>
      <c r="C719" s="97"/>
      <c r="D719" s="98"/>
      <c r="E719" s="99"/>
      <c r="F719" s="98"/>
      <c r="G719" s="98"/>
      <c r="H719" s="98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97"/>
      <c r="B720" s="97"/>
      <c r="C720" s="97"/>
      <c r="D720" s="98"/>
      <c r="E720" s="99"/>
      <c r="F720" s="98"/>
      <c r="G720" s="98"/>
      <c r="H720" s="98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97"/>
      <c r="B721" s="97"/>
      <c r="C721" s="97"/>
      <c r="D721" s="98"/>
      <c r="E721" s="99"/>
      <c r="F721" s="98"/>
      <c r="G721" s="98"/>
      <c r="H721" s="98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97"/>
      <c r="B722" s="97"/>
      <c r="C722" s="97"/>
      <c r="D722" s="98"/>
      <c r="E722" s="99"/>
      <c r="F722" s="98"/>
      <c r="G722" s="98"/>
      <c r="H722" s="98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97"/>
      <c r="B723" s="97"/>
      <c r="C723" s="97"/>
      <c r="D723" s="98"/>
      <c r="E723" s="99"/>
      <c r="F723" s="98"/>
      <c r="G723" s="98"/>
      <c r="H723" s="98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97"/>
      <c r="B724" s="97"/>
      <c r="C724" s="97"/>
      <c r="D724" s="98"/>
      <c r="E724" s="99"/>
      <c r="F724" s="98"/>
      <c r="G724" s="98"/>
      <c r="H724" s="98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97"/>
      <c r="B725" s="97"/>
      <c r="C725" s="97"/>
      <c r="D725" s="98"/>
      <c r="E725" s="99"/>
      <c r="F725" s="98"/>
      <c r="G725" s="98"/>
      <c r="H725" s="98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97"/>
      <c r="B726" s="97"/>
      <c r="C726" s="97"/>
      <c r="D726" s="98"/>
      <c r="E726" s="99"/>
      <c r="F726" s="98"/>
      <c r="G726" s="98"/>
      <c r="H726" s="98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97"/>
      <c r="B727" s="97"/>
      <c r="C727" s="97"/>
      <c r="D727" s="98"/>
      <c r="E727" s="99"/>
      <c r="F727" s="98"/>
      <c r="G727" s="98"/>
      <c r="H727" s="98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97"/>
      <c r="B728" s="97"/>
      <c r="C728" s="97"/>
      <c r="D728" s="98"/>
      <c r="E728" s="99"/>
      <c r="F728" s="98"/>
      <c r="G728" s="98"/>
      <c r="H728" s="98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97"/>
      <c r="B729" s="97"/>
      <c r="C729" s="97"/>
      <c r="D729" s="98"/>
      <c r="E729" s="99"/>
      <c r="F729" s="98"/>
      <c r="G729" s="98"/>
      <c r="H729" s="98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97"/>
      <c r="B730" s="97"/>
      <c r="C730" s="97"/>
      <c r="D730" s="98"/>
      <c r="E730" s="99"/>
      <c r="F730" s="98"/>
      <c r="G730" s="98"/>
      <c r="H730" s="98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97"/>
      <c r="B731" s="97"/>
      <c r="C731" s="97"/>
      <c r="D731" s="98"/>
      <c r="E731" s="99"/>
      <c r="F731" s="98"/>
      <c r="G731" s="98"/>
      <c r="H731" s="98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97"/>
      <c r="B732" s="97"/>
      <c r="C732" s="97"/>
      <c r="D732" s="98"/>
      <c r="E732" s="99"/>
      <c r="F732" s="98"/>
      <c r="G732" s="98"/>
      <c r="H732" s="98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97"/>
      <c r="B733" s="97"/>
      <c r="C733" s="97"/>
      <c r="D733" s="98"/>
      <c r="E733" s="99"/>
      <c r="F733" s="98"/>
      <c r="G733" s="98"/>
      <c r="H733" s="98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97"/>
      <c r="B734" s="97"/>
      <c r="C734" s="97"/>
      <c r="D734" s="98"/>
      <c r="E734" s="99"/>
      <c r="F734" s="98"/>
      <c r="G734" s="98"/>
      <c r="H734" s="98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97"/>
      <c r="B735" s="97"/>
      <c r="C735" s="97"/>
      <c r="D735" s="98"/>
      <c r="E735" s="99"/>
      <c r="F735" s="98"/>
      <c r="G735" s="98"/>
      <c r="H735" s="98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97"/>
      <c r="B736" s="97"/>
      <c r="C736" s="97"/>
      <c r="D736" s="98"/>
      <c r="E736" s="99"/>
      <c r="F736" s="98"/>
      <c r="G736" s="98"/>
      <c r="H736" s="98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97"/>
      <c r="B737" s="97"/>
      <c r="C737" s="97"/>
      <c r="D737" s="98"/>
      <c r="E737" s="99"/>
      <c r="F737" s="98"/>
      <c r="G737" s="98"/>
      <c r="H737" s="98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97"/>
      <c r="B738" s="97"/>
      <c r="C738" s="97"/>
      <c r="D738" s="98"/>
      <c r="E738" s="99"/>
      <c r="F738" s="98"/>
      <c r="G738" s="98"/>
      <c r="H738" s="98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97"/>
      <c r="B739" s="97"/>
      <c r="C739" s="97"/>
      <c r="D739" s="98"/>
      <c r="E739" s="99"/>
      <c r="F739" s="98"/>
      <c r="G739" s="98"/>
      <c r="H739" s="98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97"/>
      <c r="B740" s="97"/>
      <c r="C740" s="97"/>
      <c r="D740" s="98"/>
      <c r="E740" s="99"/>
      <c r="F740" s="98"/>
      <c r="G740" s="98"/>
      <c r="H740" s="98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97"/>
      <c r="B741" s="97"/>
      <c r="C741" s="97"/>
      <c r="D741" s="98"/>
      <c r="E741" s="99"/>
      <c r="F741" s="98"/>
      <c r="G741" s="98"/>
      <c r="H741" s="98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97"/>
      <c r="B742" s="97"/>
      <c r="C742" s="97"/>
      <c r="D742" s="98"/>
      <c r="E742" s="99"/>
      <c r="F742" s="98"/>
      <c r="G742" s="98"/>
      <c r="H742" s="98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97"/>
      <c r="B743" s="97"/>
      <c r="C743" s="97"/>
      <c r="D743" s="98"/>
      <c r="E743" s="99"/>
      <c r="F743" s="98"/>
      <c r="G743" s="98"/>
      <c r="H743" s="98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97"/>
      <c r="B744" s="97"/>
      <c r="C744" s="97"/>
      <c r="D744" s="98"/>
      <c r="E744" s="99"/>
      <c r="F744" s="98"/>
      <c r="G744" s="98"/>
      <c r="H744" s="98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97"/>
      <c r="B745" s="97"/>
      <c r="C745" s="97"/>
      <c r="D745" s="98"/>
      <c r="E745" s="99"/>
      <c r="F745" s="98"/>
      <c r="G745" s="98"/>
      <c r="H745" s="98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97"/>
      <c r="B746" s="97"/>
      <c r="C746" s="97"/>
      <c r="D746" s="98"/>
      <c r="E746" s="99"/>
      <c r="F746" s="98"/>
      <c r="G746" s="98"/>
      <c r="H746" s="98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97"/>
      <c r="B747" s="97"/>
      <c r="C747" s="97"/>
      <c r="D747" s="98"/>
      <c r="E747" s="99"/>
      <c r="F747" s="98"/>
      <c r="G747" s="98"/>
      <c r="H747" s="98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97"/>
      <c r="B748" s="97"/>
      <c r="C748" s="97"/>
      <c r="D748" s="98"/>
      <c r="E748" s="99"/>
      <c r="F748" s="98"/>
      <c r="G748" s="98"/>
      <c r="H748" s="98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97"/>
      <c r="B749" s="97"/>
      <c r="C749" s="97"/>
      <c r="D749" s="98"/>
      <c r="E749" s="99"/>
      <c r="F749" s="98"/>
      <c r="G749" s="98"/>
      <c r="H749" s="98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97"/>
      <c r="B750" s="97"/>
      <c r="C750" s="97"/>
      <c r="D750" s="98"/>
      <c r="E750" s="99"/>
      <c r="F750" s="98"/>
      <c r="G750" s="98"/>
      <c r="H750" s="98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97"/>
      <c r="B751" s="97"/>
      <c r="C751" s="97"/>
      <c r="D751" s="98"/>
      <c r="E751" s="99"/>
      <c r="F751" s="98"/>
      <c r="G751" s="98"/>
      <c r="H751" s="98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97"/>
      <c r="B752" s="97"/>
      <c r="C752" s="97"/>
      <c r="D752" s="98"/>
      <c r="E752" s="99"/>
      <c r="F752" s="98"/>
      <c r="G752" s="98"/>
      <c r="H752" s="98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97"/>
      <c r="B753" s="97"/>
      <c r="C753" s="97"/>
      <c r="D753" s="98"/>
      <c r="E753" s="99"/>
      <c r="F753" s="98"/>
      <c r="G753" s="98"/>
      <c r="H753" s="98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97"/>
      <c r="B754" s="97"/>
      <c r="C754" s="97"/>
      <c r="D754" s="98"/>
      <c r="E754" s="99"/>
      <c r="F754" s="98"/>
      <c r="G754" s="98"/>
      <c r="H754" s="98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97"/>
      <c r="B755" s="97"/>
      <c r="C755" s="97"/>
      <c r="D755" s="98"/>
      <c r="E755" s="99"/>
      <c r="F755" s="98"/>
      <c r="G755" s="98"/>
      <c r="H755" s="98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97"/>
      <c r="B756" s="97"/>
      <c r="C756" s="97"/>
      <c r="D756" s="98"/>
      <c r="E756" s="99"/>
      <c r="F756" s="98"/>
      <c r="G756" s="98"/>
      <c r="H756" s="98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97"/>
      <c r="B757" s="97"/>
      <c r="C757" s="97"/>
      <c r="D757" s="98"/>
      <c r="E757" s="99"/>
      <c r="F757" s="98"/>
      <c r="G757" s="98"/>
      <c r="H757" s="98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97"/>
      <c r="B758" s="97"/>
      <c r="C758" s="97"/>
      <c r="D758" s="98"/>
      <c r="E758" s="99"/>
      <c r="F758" s="98"/>
      <c r="G758" s="98"/>
      <c r="H758" s="98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97"/>
      <c r="B759" s="97"/>
      <c r="C759" s="97"/>
      <c r="D759" s="98"/>
      <c r="E759" s="99"/>
      <c r="F759" s="98"/>
      <c r="G759" s="98"/>
      <c r="H759" s="98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97"/>
      <c r="B760" s="97"/>
      <c r="C760" s="97"/>
      <c r="D760" s="98"/>
      <c r="E760" s="99"/>
      <c r="F760" s="98"/>
      <c r="G760" s="98"/>
      <c r="H760" s="98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97"/>
      <c r="B761" s="97"/>
      <c r="C761" s="97"/>
      <c r="D761" s="98"/>
      <c r="E761" s="99"/>
      <c r="F761" s="98"/>
      <c r="G761" s="98"/>
      <c r="H761" s="98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97"/>
      <c r="B762" s="97"/>
      <c r="C762" s="97"/>
      <c r="D762" s="98"/>
      <c r="E762" s="99"/>
      <c r="F762" s="98"/>
      <c r="G762" s="98"/>
      <c r="H762" s="98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97"/>
      <c r="B763" s="97"/>
      <c r="C763" s="97"/>
      <c r="D763" s="98"/>
      <c r="E763" s="99"/>
      <c r="F763" s="98"/>
      <c r="G763" s="98"/>
      <c r="H763" s="98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97"/>
      <c r="B764" s="97"/>
      <c r="C764" s="97"/>
      <c r="D764" s="98"/>
      <c r="E764" s="99"/>
      <c r="F764" s="98"/>
      <c r="G764" s="98"/>
      <c r="H764" s="98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97"/>
      <c r="B765" s="97"/>
      <c r="C765" s="97"/>
      <c r="D765" s="98"/>
      <c r="E765" s="99"/>
      <c r="F765" s="98"/>
      <c r="G765" s="98"/>
      <c r="H765" s="98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97"/>
      <c r="B766" s="97"/>
      <c r="C766" s="97"/>
      <c r="D766" s="98"/>
      <c r="E766" s="99"/>
      <c r="F766" s="98"/>
      <c r="G766" s="98"/>
      <c r="H766" s="98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97"/>
      <c r="B767" s="97"/>
      <c r="C767" s="97"/>
      <c r="D767" s="98"/>
      <c r="E767" s="99"/>
      <c r="F767" s="98"/>
      <c r="G767" s="98"/>
      <c r="H767" s="98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97"/>
      <c r="B768" s="97"/>
      <c r="C768" s="97"/>
      <c r="D768" s="98"/>
      <c r="E768" s="99"/>
      <c r="F768" s="98"/>
      <c r="G768" s="98"/>
      <c r="H768" s="98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97"/>
      <c r="B769" s="97"/>
      <c r="C769" s="97"/>
      <c r="D769" s="98"/>
      <c r="E769" s="99"/>
      <c r="F769" s="98"/>
      <c r="G769" s="98"/>
      <c r="H769" s="98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97"/>
      <c r="B770" s="97"/>
      <c r="C770" s="97"/>
      <c r="D770" s="98"/>
      <c r="E770" s="99"/>
      <c r="F770" s="98"/>
      <c r="G770" s="98"/>
      <c r="H770" s="98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97"/>
      <c r="B771" s="97"/>
      <c r="C771" s="97"/>
      <c r="D771" s="98"/>
      <c r="E771" s="99"/>
      <c r="F771" s="98"/>
      <c r="G771" s="98"/>
      <c r="H771" s="98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97"/>
      <c r="B772" s="97"/>
      <c r="C772" s="97"/>
      <c r="D772" s="98"/>
      <c r="E772" s="99"/>
      <c r="F772" s="98"/>
      <c r="G772" s="98"/>
      <c r="H772" s="98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97"/>
      <c r="B773" s="97"/>
      <c r="C773" s="97"/>
      <c r="D773" s="98"/>
      <c r="E773" s="99"/>
      <c r="F773" s="98"/>
      <c r="G773" s="98"/>
      <c r="H773" s="98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97"/>
      <c r="B774" s="97"/>
      <c r="C774" s="97"/>
      <c r="D774" s="98"/>
      <c r="E774" s="99"/>
      <c r="F774" s="98"/>
      <c r="G774" s="98"/>
      <c r="H774" s="98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97"/>
      <c r="B775" s="97"/>
      <c r="C775" s="97"/>
      <c r="D775" s="98"/>
      <c r="E775" s="99"/>
      <c r="F775" s="98"/>
      <c r="G775" s="98"/>
      <c r="H775" s="98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97"/>
      <c r="B776" s="97"/>
      <c r="C776" s="97"/>
      <c r="D776" s="98"/>
      <c r="E776" s="99"/>
      <c r="F776" s="98"/>
      <c r="G776" s="98"/>
      <c r="H776" s="98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97"/>
      <c r="B777" s="97"/>
      <c r="C777" s="97"/>
      <c r="D777" s="98"/>
      <c r="E777" s="99"/>
      <c r="F777" s="98"/>
      <c r="G777" s="98"/>
      <c r="H777" s="98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97"/>
      <c r="B778" s="97"/>
      <c r="C778" s="97"/>
      <c r="D778" s="98"/>
      <c r="E778" s="99"/>
      <c r="F778" s="98"/>
      <c r="G778" s="98"/>
      <c r="H778" s="98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97"/>
      <c r="B779" s="97"/>
      <c r="C779" s="97"/>
      <c r="D779" s="98"/>
      <c r="E779" s="99"/>
      <c r="F779" s="98"/>
      <c r="G779" s="98"/>
      <c r="H779" s="98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97"/>
      <c r="B780" s="97"/>
      <c r="C780" s="97"/>
      <c r="D780" s="98"/>
      <c r="E780" s="99"/>
      <c r="F780" s="98"/>
      <c r="G780" s="98"/>
      <c r="H780" s="98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97"/>
      <c r="B781" s="97"/>
      <c r="C781" s="97"/>
      <c r="D781" s="98"/>
      <c r="E781" s="99"/>
      <c r="F781" s="98"/>
      <c r="G781" s="98"/>
      <c r="H781" s="98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97"/>
      <c r="B782" s="97"/>
      <c r="C782" s="97"/>
      <c r="D782" s="98"/>
      <c r="E782" s="99"/>
      <c r="F782" s="98"/>
      <c r="G782" s="98"/>
      <c r="H782" s="98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97"/>
      <c r="B783" s="97"/>
      <c r="C783" s="97"/>
      <c r="D783" s="98"/>
      <c r="E783" s="99"/>
      <c r="F783" s="98"/>
      <c r="G783" s="98"/>
      <c r="H783" s="98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97"/>
      <c r="B784" s="97"/>
      <c r="C784" s="97"/>
      <c r="D784" s="98"/>
      <c r="E784" s="99"/>
      <c r="F784" s="98"/>
      <c r="G784" s="98"/>
      <c r="H784" s="98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97"/>
      <c r="B785" s="97"/>
      <c r="C785" s="97"/>
      <c r="D785" s="98"/>
      <c r="E785" s="99"/>
      <c r="F785" s="98"/>
      <c r="G785" s="98"/>
      <c r="H785" s="98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97"/>
      <c r="B786" s="97"/>
      <c r="C786" s="97"/>
      <c r="D786" s="98"/>
      <c r="E786" s="99"/>
      <c r="F786" s="98"/>
      <c r="G786" s="98"/>
      <c r="H786" s="98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97"/>
      <c r="B787" s="97"/>
      <c r="C787" s="97"/>
      <c r="D787" s="98"/>
      <c r="E787" s="99"/>
      <c r="F787" s="98"/>
      <c r="G787" s="98"/>
      <c r="H787" s="98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97"/>
      <c r="B788" s="97"/>
      <c r="C788" s="97"/>
      <c r="D788" s="98"/>
      <c r="E788" s="99"/>
      <c r="F788" s="98"/>
      <c r="G788" s="98"/>
      <c r="H788" s="98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97"/>
      <c r="B789" s="97"/>
      <c r="C789" s="97"/>
      <c r="D789" s="98"/>
      <c r="E789" s="99"/>
      <c r="F789" s="98"/>
      <c r="G789" s="98"/>
      <c r="H789" s="98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97"/>
      <c r="B790" s="97"/>
      <c r="C790" s="97"/>
      <c r="D790" s="98"/>
      <c r="E790" s="99"/>
      <c r="F790" s="98"/>
      <c r="G790" s="98"/>
      <c r="H790" s="98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97"/>
      <c r="B791" s="97"/>
      <c r="C791" s="97"/>
      <c r="D791" s="98"/>
      <c r="E791" s="99"/>
      <c r="F791" s="98"/>
      <c r="G791" s="98"/>
      <c r="H791" s="98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97"/>
      <c r="B792" s="97"/>
      <c r="C792" s="97"/>
      <c r="D792" s="98"/>
      <c r="E792" s="99"/>
      <c r="F792" s="98"/>
      <c r="G792" s="98"/>
      <c r="H792" s="98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97"/>
      <c r="B793" s="97"/>
      <c r="C793" s="97"/>
      <c r="D793" s="98"/>
      <c r="E793" s="99"/>
      <c r="F793" s="98"/>
      <c r="G793" s="98"/>
      <c r="H793" s="98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97"/>
      <c r="B794" s="97"/>
      <c r="C794" s="97"/>
      <c r="D794" s="98"/>
      <c r="E794" s="99"/>
      <c r="F794" s="98"/>
      <c r="G794" s="98"/>
      <c r="H794" s="98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97"/>
      <c r="B795" s="97"/>
      <c r="C795" s="97"/>
      <c r="D795" s="98"/>
      <c r="E795" s="99"/>
      <c r="F795" s="98"/>
      <c r="G795" s="98"/>
      <c r="H795" s="98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97"/>
      <c r="B796" s="97"/>
      <c r="C796" s="97"/>
      <c r="D796" s="98"/>
      <c r="E796" s="99"/>
      <c r="F796" s="98"/>
      <c r="G796" s="98"/>
      <c r="H796" s="98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97"/>
      <c r="B797" s="97"/>
      <c r="C797" s="97"/>
      <c r="D797" s="98"/>
      <c r="E797" s="99"/>
      <c r="F797" s="98"/>
      <c r="G797" s="98"/>
      <c r="H797" s="98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97"/>
      <c r="B798" s="97"/>
      <c r="C798" s="97"/>
      <c r="D798" s="98"/>
      <c r="E798" s="99"/>
      <c r="F798" s="98"/>
      <c r="G798" s="98"/>
      <c r="H798" s="98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97"/>
      <c r="B799" s="97"/>
      <c r="C799" s="97"/>
      <c r="D799" s="98"/>
      <c r="E799" s="99"/>
      <c r="F799" s="98"/>
      <c r="G799" s="98"/>
      <c r="H799" s="98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97"/>
      <c r="B800" s="97"/>
      <c r="C800" s="97"/>
      <c r="D800" s="98"/>
      <c r="E800" s="99"/>
      <c r="F800" s="98"/>
      <c r="G800" s="98"/>
      <c r="H800" s="98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97"/>
      <c r="B801" s="97"/>
      <c r="C801" s="97"/>
      <c r="D801" s="98"/>
      <c r="E801" s="99"/>
      <c r="F801" s="98"/>
      <c r="G801" s="98"/>
      <c r="H801" s="98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97"/>
      <c r="B802" s="97"/>
      <c r="C802" s="97"/>
      <c r="D802" s="98"/>
      <c r="E802" s="99"/>
      <c r="F802" s="98"/>
      <c r="G802" s="98"/>
      <c r="H802" s="98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97"/>
      <c r="B803" s="97"/>
      <c r="C803" s="97"/>
      <c r="D803" s="98"/>
      <c r="E803" s="99"/>
      <c r="F803" s="98"/>
      <c r="G803" s="98"/>
      <c r="H803" s="98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97"/>
      <c r="B804" s="97"/>
      <c r="C804" s="97"/>
      <c r="D804" s="98"/>
      <c r="E804" s="99"/>
      <c r="F804" s="98"/>
      <c r="G804" s="98"/>
      <c r="H804" s="98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97"/>
      <c r="B805" s="97"/>
      <c r="C805" s="97"/>
      <c r="D805" s="98"/>
      <c r="E805" s="99"/>
      <c r="F805" s="98"/>
      <c r="G805" s="98"/>
      <c r="H805" s="98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97"/>
      <c r="B806" s="97"/>
      <c r="C806" s="97"/>
      <c r="D806" s="98"/>
      <c r="E806" s="99"/>
      <c r="F806" s="98"/>
      <c r="G806" s="98"/>
      <c r="H806" s="98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97"/>
      <c r="B807" s="97"/>
      <c r="C807" s="97"/>
      <c r="D807" s="98"/>
      <c r="E807" s="99"/>
      <c r="F807" s="98"/>
      <c r="G807" s="98"/>
      <c r="H807" s="98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97"/>
      <c r="B808" s="97"/>
      <c r="C808" s="97"/>
      <c r="D808" s="98"/>
      <c r="E808" s="99"/>
      <c r="F808" s="98"/>
      <c r="G808" s="98"/>
      <c r="H808" s="98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97"/>
      <c r="B809" s="97"/>
      <c r="C809" s="97"/>
      <c r="D809" s="98"/>
      <c r="E809" s="99"/>
      <c r="F809" s="98"/>
      <c r="G809" s="98"/>
      <c r="H809" s="98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97"/>
      <c r="B810" s="97"/>
      <c r="C810" s="97"/>
      <c r="D810" s="98"/>
      <c r="E810" s="99"/>
      <c r="F810" s="98"/>
      <c r="G810" s="98"/>
      <c r="H810" s="98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97"/>
      <c r="B811" s="97"/>
      <c r="C811" s="97"/>
      <c r="D811" s="98"/>
      <c r="E811" s="99"/>
      <c r="F811" s="98"/>
      <c r="G811" s="98"/>
      <c r="H811" s="98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97"/>
      <c r="B812" s="97"/>
      <c r="C812" s="97"/>
      <c r="D812" s="98"/>
      <c r="E812" s="99"/>
      <c r="F812" s="98"/>
      <c r="G812" s="98"/>
      <c r="H812" s="98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97"/>
      <c r="B813" s="97"/>
      <c r="C813" s="97"/>
      <c r="D813" s="98"/>
      <c r="E813" s="99"/>
      <c r="F813" s="98"/>
      <c r="G813" s="98"/>
      <c r="H813" s="98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97"/>
      <c r="B814" s="97"/>
      <c r="C814" s="97"/>
      <c r="D814" s="98"/>
      <c r="E814" s="99"/>
      <c r="F814" s="98"/>
      <c r="G814" s="98"/>
      <c r="H814" s="98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97"/>
      <c r="B815" s="97"/>
      <c r="C815" s="97"/>
      <c r="D815" s="98"/>
      <c r="E815" s="99"/>
      <c r="F815" s="98"/>
      <c r="G815" s="98"/>
      <c r="H815" s="98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97"/>
      <c r="B816" s="97"/>
      <c r="C816" s="97"/>
      <c r="D816" s="98"/>
      <c r="E816" s="99"/>
      <c r="F816" s="98"/>
      <c r="G816" s="98"/>
      <c r="H816" s="98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97"/>
      <c r="B817" s="97"/>
      <c r="C817" s="97"/>
      <c r="D817" s="98"/>
      <c r="E817" s="99"/>
      <c r="F817" s="98"/>
      <c r="G817" s="98"/>
      <c r="H817" s="98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97"/>
      <c r="B818" s="97"/>
      <c r="C818" s="97"/>
      <c r="D818" s="98"/>
      <c r="E818" s="99"/>
      <c r="F818" s="98"/>
      <c r="G818" s="98"/>
      <c r="H818" s="98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97"/>
      <c r="B819" s="97"/>
      <c r="C819" s="97"/>
      <c r="D819" s="98"/>
      <c r="E819" s="99"/>
      <c r="F819" s="98"/>
      <c r="G819" s="98"/>
      <c r="H819" s="98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97"/>
      <c r="B820" s="97"/>
      <c r="C820" s="97"/>
      <c r="D820" s="98"/>
      <c r="E820" s="99"/>
      <c r="F820" s="98"/>
      <c r="G820" s="98"/>
      <c r="H820" s="98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97"/>
      <c r="B821" s="97"/>
      <c r="C821" s="97"/>
      <c r="D821" s="98"/>
      <c r="E821" s="99"/>
      <c r="F821" s="98"/>
      <c r="G821" s="98"/>
      <c r="H821" s="98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97"/>
      <c r="B822" s="97"/>
      <c r="C822" s="97"/>
      <c r="D822" s="98"/>
      <c r="E822" s="99"/>
      <c r="F822" s="98"/>
      <c r="G822" s="98"/>
      <c r="H822" s="98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97"/>
      <c r="B823" s="97"/>
      <c r="C823" s="97"/>
      <c r="D823" s="98"/>
      <c r="E823" s="99"/>
      <c r="F823" s="98"/>
      <c r="G823" s="98"/>
      <c r="H823" s="98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97"/>
      <c r="B824" s="97"/>
      <c r="C824" s="97"/>
      <c r="D824" s="98"/>
      <c r="E824" s="99"/>
      <c r="F824" s="98"/>
      <c r="G824" s="98"/>
      <c r="H824" s="98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97"/>
      <c r="B825" s="97"/>
      <c r="C825" s="97"/>
      <c r="D825" s="98"/>
      <c r="E825" s="99"/>
      <c r="F825" s="98"/>
      <c r="G825" s="98"/>
      <c r="H825" s="98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97"/>
      <c r="B826" s="97"/>
      <c r="C826" s="97"/>
      <c r="D826" s="98"/>
      <c r="E826" s="99"/>
      <c r="F826" s="98"/>
      <c r="G826" s="98"/>
      <c r="H826" s="98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97"/>
      <c r="B827" s="97"/>
      <c r="C827" s="97"/>
      <c r="D827" s="98"/>
      <c r="E827" s="99"/>
      <c r="F827" s="98"/>
      <c r="G827" s="98"/>
      <c r="H827" s="98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97"/>
      <c r="B828" s="97"/>
      <c r="C828" s="97"/>
      <c r="D828" s="98"/>
      <c r="E828" s="99"/>
      <c r="F828" s="98"/>
      <c r="G828" s="98"/>
      <c r="H828" s="98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97"/>
      <c r="B829" s="97"/>
      <c r="C829" s="97"/>
      <c r="D829" s="98"/>
      <c r="E829" s="99"/>
      <c r="F829" s="98"/>
      <c r="G829" s="98"/>
      <c r="H829" s="98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97"/>
      <c r="B830" s="97"/>
      <c r="C830" s="97"/>
      <c r="D830" s="98"/>
      <c r="E830" s="99"/>
      <c r="F830" s="98"/>
      <c r="G830" s="98"/>
      <c r="H830" s="98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97"/>
      <c r="B831" s="97"/>
      <c r="C831" s="97"/>
      <c r="D831" s="98"/>
      <c r="E831" s="99"/>
      <c r="F831" s="98"/>
      <c r="G831" s="98"/>
      <c r="H831" s="98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97"/>
      <c r="B832" s="97"/>
      <c r="C832" s="97"/>
      <c r="D832" s="98"/>
      <c r="E832" s="99"/>
      <c r="F832" s="98"/>
      <c r="G832" s="98"/>
      <c r="H832" s="98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97"/>
      <c r="B833" s="97"/>
      <c r="C833" s="97"/>
      <c r="D833" s="98"/>
      <c r="E833" s="99"/>
      <c r="F833" s="98"/>
      <c r="G833" s="98"/>
      <c r="H833" s="98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97"/>
      <c r="B834" s="97"/>
      <c r="C834" s="97"/>
      <c r="D834" s="98"/>
      <c r="E834" s="99"/>
      <c r="F834" s="98"/>
      <c r="G834" s="98"/>
      <c r="H834" s="98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97"/>
      <c r="B835" s="97"/>
      <c r="C835" s="97"/>
      <c r="D835" s="98"/>
      <c r="E835" s="99"/>
      <c r="F835" s="98"/>
      <c r="G835" s="98"/>
      <c r="H835" s="98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97"/>
      <c r="B836" s="97"/>
      <c r="C836" s="97"/>
      <c r="D836" s="98"/>
      <c r="E836" s="99"/>
      <c r="F836" s="98"/>
      <c r="G836" s="98"/>
      <c r="H836" s="98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97"/>
      <c r="B837" s="97"/>
      <c r="C837" s="97"/>
      <c r="D837" s="98"/>
      <c r="E837" s="99"/>
      <c r="F837" s="98"/>
      <c r="G837" s="98"/>
      <c r="H837" s="98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97"/>
      <c r="B838" s="97"/>
      <c r="C838" s="97"/>
      <c r="D838" s="98"/>
      <c r="E838" s="99"/>
      <c r="F838" s="98"/>
      <c r="G838" s="98"/>
      <c r="H838" s="98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97"/>
      <c r="B839" s="97"/>
      <c r="C839" s="97"/>
      <c r="D839" s="98"/>
      <c r="E839" s="99"/>
      <c r="F839" s="98"/>
      <c r="G839" s="98"/>
      <c r="H839" s="98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97"/>
      <c r="B840" s="97"/>
      <c r="C840" s="97"/>
      <c r="D840" s="98"/>
      <c r="E840" s="99"/>
      <c r="F840" s="98"/>
      <c r="G840" s="98"/>
      <c r="H840" s="98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97"/>
      <c r="B841" s="97"/>
      <c r="C841" s="97"/>
      <c r="D841" s="98"/>
      <c r="E841" s="99"/>
      <c r="F841" s="98"/>
      <c r="G841" s="98"/>
      <c r="H841" s="98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97"/>
      <c r="B842" s="97"/>
      <c r="C842" s="97"/>
      <c r="D842" s="98"/>
      <c r="E842" s="99"/>
      <c r="F842" s="98"/>
      <c r="G842" s="98"/>
      <c r="H842" s="98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97"/>
      <c r="B843" s="97"/>
      <c r="C843" s="97"/>
      <c r="D843" s="98"/>
      <c r="E843" s="99"/>
      <c r="F843" s="98"/>
      <c r="G843" s="98"/>
      <c r="H843" s="98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97"/>
      <c r="B844" s="97"/>
      <c r="C844" s="97"/>
      <c r="D844" s="98"/>
      <c r="E844" s="99"/>
      <c r="F844" s="98"/>
      <c r="G844" s="98"/>
      <c r="H844" s="98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97"/>
      <c r="B845" s="97"/>
      <c r="C845" s="97"/>
      <c r="D845" s="98"/>
      <c r="E845" s="99"/>
      <c r="F845" s="98"/>
      <c r="G845" s="98"/>
      <c r="H845" s="98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97"/>
      <c r="B846" s="97"/>
      <c r="C846" s="97"/>
      <c r="D846" s="98"/>
      <c r="E846" s="99"/>
      <c r="F846" s="98"/>
      <c r="G846" s="98"/>
      <c r="H846" s="98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97"/>
      <c r="B847" s="97"/>
      <c r="C847" s="97"/>
      <c r="D847" s="98"/>
      <c r="E847" s="99"/>
      <c r="F847" s="98"/>
      <c r="G847" s="98"/>
      <c r="H847" s="98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97"/>
      <c r="B848" s="97"/>
      <c r="C848" s="97"/>
      <c r="D848" s="98"/>
      <c r="E848" s="99"/>
      <c r="F848" s="98"/>
      <c r="G848" s="98"/>
      <c r="H848" s="98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97"/>
      <c r="B849" s="97"/>
      <c r="C849" s="97"/>
      <c r="D849" s="98"/>
      <c r="E849" s="99"/>
      <c r="F849" s="98"/>
      <c r="G849" s="98"/>
      <c r="H849" s="98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97"/>
      <c r="B850" s="97"/>
      <c r="C850" s="97"/>
      <c r="D850" s="98"/>
      <c r="E850" s="99"/>
      <c r="F850" s="98"/>
      <c r="G850" s="98"/>
      <c r="H850" s="98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97"/>
      <c r="B851" s="97"/>
      <c r="C851" s="97"/>
      <c r="D851" s="98"/>
      <c r="E851" s="99"/>
      <c r="F851" s="98"/>
      <c r="G851" s="98"/>
      <c r="H851" s="98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97"/>
      <c r="B852" s="97"/>
      <c r="C852" s="97"/>
      <c r="D852" s="98"/>
      <c r="E852" s="99"/>
      <c r="F852" s="98"/>
      <c r="G852" s="98"/>
      <c r="H852" s="98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97"/>
      <c r="B853" s="97"/>
      <c r="C853" s="97"/>
      <c r="D853" s="98"/>
      <c r="E853" s="99"/>
      <c r="F853" s="98"/>
      <c r="G853" s="98"/>
      <c r="H853" s="98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97"/>
      <c r="B854" s="97"/>
      <c r="C854" s="97"/>
      <c r="D854" s="98"/>
      <c r="E854" s="99"/>
      <c r="F854" s="98"/>
      <c r="G854" s="98"/>
      <c r="H854" s="98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97"/>
      <c r="B855" s="97"/>
      <c r="C855" s="97"/>
      <c r="D855" s="98"/>
      <c r="E855" s="99"/>
      <c r="F855" s="98"/>
      <c r="G855" s="98"/>
      <c r="H855" s="98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97"/>
      <c r="B856" s="97"/>
      <c r="C856" s="97"/>
      <c r="D856" s="98"/>
      <c r="E856" s="99"/>
      <c r="F856" s="98"/>
      <c r="G856" s="98"/>
      <c r="H856" s="98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97"/>
      <c r="B857" s="97"/>
      <c r="C857" s="97"/>
      <c r="D857" s="98"/>
      <c r="E857" s="99"/>
      <c r="F857" s="98"/>
      <c r="G857" s="98"/>
      <c r="H857" s="98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97"/>
      <c r="B858" s="97"/>
      <c r="C858" s="97"/>
      <c r="D858" s="98"/>
      <c r="E858" s="99"/>
      <c r="F858" s="98"/>
      <c r="G858" s="98"/>
      <c r="H858" s="98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97"/>
      <c r="B859" s="97"/>
      <c r="C859" s="97"/>
      <c r="D859" s="98"/>
      <c r="E859" s="99"/>
      <c r="F859" s="98"/>
      <c r="G859" s="98"/>
      <c r="H859" s="98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97"/>
      <c r="B860" s="97"/>
      <c r="C860" s="97"/>
      <c r="D860" s="98"/>
      <c r="E860" s="99"/>
      <c r="F860" s="98"/>
      <c r="G860" s="98"/>
      <c r="H860" s="98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97"/>
      <c r="B861" s="97"/>
      <c r="C861" s="97"/>
      <c r="D861" s="98"/>
      <c r="E861" s="99"/>
      <c r="F861" s="98"/>
      <c r="G861" s="98"/>
      <c r="H861" s="98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97"/>
      <c r="B862" s="97"/>
      <c r="C862" s="97"/>
      <c r="D862" s="98"/>
      <c r="E862" s="99"/>
      <c r="F862" s="98"/>
      <c r="G862" s="98"/>
      <c r="H862" s="98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97"/>
      <c r="B863" s="97"/>
      <c r="C863" s="97"/>
      <c r="D863" s="98"/>
      <c r="E863" s="99"/>
      <c r="F863" s="98"/>
      <c r="G863" s="98"/>
      <c r="H863" s="98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97"/>
      <c r="B864" s="97"/>
      <c r="C864" s="97"/>
      <c r="D864" s="98"/>
      <c r="E864" s="99"/>
      <c r="F864" s="98"/>
      <c r="G864" s="98"/>
      <c r="H864" s="98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97"/>
      <c r="B865" s="97"/>
      <c r="C865" s="97"/>
      <c r="D865" s="98"/>
      <c r="E865" s="99"/>
      <c r="F865" s="98"/>
      <c r="G865" s="98"/>
      <c r="H865" s="98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97"/>
      <c r="B866" s="97"/>
      <c r="C866" s="97"/>
      <c r="D866" s="98"/>
      <c r="E866" s="99"/>
      <c r="F866" s="98"/>
      <c r="G866" s="98"/>
      <c r="H866" s="98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97"/>
      <c r="B867" s="97"/>
      <c r="C867" s="97"/>
      <c r="D867" s="98"/>
      <c r="E867" s="99"/>
      <c r="F867" s="98"/>
      <c r="G867" s="98"/>
      <c r="H867" s="98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97"/>
      <c r="B868" s="97"/>
      <c r="C868" s="97"/>
      <c r="D868" s="98"/>
      <c r="E868" s="99"/>
      <c r="F868" s="98"/>
      <c r="G868" s="98"/>
      <c r="H868" s="98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97"/>
      <c r="B869" s="97"/>
      <c r="C869" s="97"/>
      <c r="D869" s="98"/>
      <c r="E869" s="99"/>
      <c r="F869" s="98"/>
      <c r="G869" s="98"/>
      <c r="H869" s="98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97"/>
      <c r="B870" s="97"/>
      <c r="C870" s="97"/>
      <c r="D870" s="98"/>
      <c r="E870" s="99"/>
      <c r="F870" s="98"/>
      <c r="G870" s="98"/>
      <c r="H870" s="98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97"/>
      <c r="B871" s="97"/>
      <c r="C871" s="97"/>
      <c r="D871" s="98"/>
      <c r="E871" s="99"/>
      <c r="F871" s="98"/>
      <c r="G871" s="98"/>
      <c r="H871" s="98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97"/>
      <c r="B872" s="97"/>
      <c r="C872" s="97"/>
      <c r="D872" s="98"/>
      <c r="E872" s="99"/>
      <c r="F872" s="98"/>
      <c r="G872" s="98"/>
      <c r="H872" s="98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97"/>
      <c r="B873" s="97"/>
      <c r="C873" s="97"/>
      <c r="D873" s="98"/>
      <c r="E873" s="99"/>
      <c r="F873" s="98"/>
      <c r="G873" s="98"/>
      <c r="H873" s="98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97"/>
      <c r="B874" s="97"/>
      <c r="C874" s="97"/>
      <c r="D874" s="98"/>
      <c r="E874" s="99"/>
      <c r="F874" s="98"/>
      <c r="G874" s="98"/>
      <c r="H874" s="98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97"/>
      <c r="B875" s="97"/>
      <c r="C875" s="97"/>
      <c r="D875" s="98"/>
      <c r="E875" s="99"/>
      <c r="F875" s="98"/>
      <c r="G875" s="98"/>
      <c r="H875" s="98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97"/>
      <c r="B876" s="97"/>
      <c r="C876" s="97"/>
      <c r="D876" s="98"/>
      <c r="E876" s="99"/>
      <c r="F876" s="98"/>
      <c r="G876" s="98"/>
      <c r="H876" s="98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97"/>
      <c r="B877" s="97"/>
      <c r="C877" s="97"/>
      <c r="D877" s="98"/>
      <c r="E877" s="99"/>
      <c r="F877" s="98"/>
      <c r="G877" s="98"/>
      <c r="H877" s="98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97"/>
      <c r="B878" s="97"/>
      <c r="C878" s="97"/>
      <c r="D878" s="98"/>
      <c r="E878" s="99"/>
      <c r="F878" s="98"/>
      <c r="G878" s="98"/>
      <c r="H878" s="98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97"/>
      <c r="B879" s="97"/>
      <c r="C879" s="97"/>
      <c r="D879" s="98"/>
      <c r="E879" s="99"/>
      <c r="F879" s="98"/>
      <c r="G879" s="98"/>
      <c r="H879" s="98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97"/>
      <c r="B880" s="97"/>
      <c r="C880" s="97"/>
      <c r="D880" s="98"/>
      <c r="E880" s="99"/>
      <c r="F880" s="98"/>
      <c r="G880" s="98"/>
      <c r="H880" s="98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97"/>
      <c r="B881" s="97"/>
      <c r="C881" s="97"/>
      <c r="D881" s="98"/>
      <c r="E881" s="99"/>
      <c r="F881" s="98"/>
      <c r="G881" s="98"/>
      <c r="H881" s="98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97"/>
      <c r="B882" s="97"/>
      <c r="C882" s="97"/>
      <c r="D882" s="98"/>
      <c r="E882" s="99"/>
      <c r="F882" s="98"/>
      <c r="G882" s="98"/>
      <c r="H882" s="98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97"/>
      <c r="B883" s="97"/>
      <c r="C883" s="97"/>
      <c r="D883" s="98"/>
      <c r="E883" s="99"/>
      <c r="F883" s="98"/>
      <c r="G883" s="98"/>
      <c r="H883" s="98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97"/>
      <c r="B884" s="97"/>
      <c r="C884" s="97"/>
      <c r="D884" s="98"/>
      <c r="E884" s="99"/>
      <c r="F884" s="98"/>
      <c r="G884" s="98"/>
      <c r="H884" s="98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97"/>
      <c r="B885" s="97"/>
      <c r="C885" s="97"/>
      <c r="D885" s="98"/>
      <c r="E885" s="99"/>
      <c r="F885" s="98"/>
      <c r="G885" s="98"/>
      <c r="H885" s="98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97"/>
      <c r="B886" s="97"/>
      <c r="C886" s="97"/>
      <c r="D886" s="98"/>
      <c r="E886" s="99"/>
      <c r="F886" s="98"/>
      <c r="G886" s="98"/>
      <c r="H886" s="98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97"/>
      <c r="B887" s="97"/>
      <c r="C887" s="97"/>
      <c r="D887" s="98"/>
      <c r="E887" s="99"/>
      <c r="F887" s="98"/>
      <c r="G887" s="98"/>
      <c r="H887" s="98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97"/>
      <c r="B888" s="97"/>
      <c r="C888" s="97"/>
      <c r="D888" s="98"/>
      <c r="E888" s="99"/>
      <c r="F888" s="98"/>
      <c r="G888" s="98"/>
      <c r="H888" s="98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97"/>
      <c r="B889" s="97"/>
      <c r="C889" s="97"/>
      <c r="D889" s="98"/>
      <c r="E889" s="99"/>
      <c r="F889" s="98"/>
      <c r="G889" s="98"/>
      <c r="H889" s="98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97"/>
      <c r="B890" s="97"/>
      <c r="C890" s="97"/>
      <c r="D890" s="98"/>
      <c r="E890" s="99"/>
      <c r="F890" s="98"/>
      <c r="G890" s="98"/>
      <c r="H890" s="98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97"/>
      <c r="B891" s="97"/>
      <c r="C891" s="97"/>
      <c r="D891" s="98"/>
      <c r="E891" s="99"/>
      <c r="F891" s="98"/>
      <c r="G891" s="98"/>
      <c r="H891" s="98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97"/>
      <c r="B892" s="97"/>
      <c r="C892" s="97"/>
      <c r="D892" s="98"/>
      <c r="E892" s="99"/>
      <c r="F892" s="98"/>
      <c r="G892" s="98"/>
      <c r="H892" s="98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97"/>
      <c r="B893" s="97"/>
      <c r="C893" s="97"/>
      <c r="D893" s="98"/>
      <c r="E893" s="99"/>
      <c r="F893" s="98"/>
      <c r="G893" s="98"/>
      <c r="H893" s="98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97"/>
      <c r="B894" s="97"/>
      <c r="C894" s="97"/>
      <c r="D894" s="98"/>
      <c r="E894" s="99"/>
      <c r="F894" s="98"/>
      <c r="G894" s="98"/>
      <c r="H894" s="98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97"/>
      <c r="B895" s="97"/>
      <c r="C895" s="97"/>
      <c r="D895" s="98"/>
      <c r="E895" s="99"/>
      <c r="F895" s="98"/>
      <c r="G895" s="98"/>
      <c r="H895" s="98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97"/>
      <c r="B896" s="97"/>
      <c r="C896" s="97"/>
      <c r="D896" s="98"/>
      <c r="E896" s="99"/>
      <c r="F896" s="98"/>
      <c r="G896" s="98"/>
      <c r="H896" s="98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97"/>
      <c r="B897" s="97"/>
      <c r="C897" s="97"/>
      <c r="D897" s="98"/>
      <c r="E897" s="99"/>
      <c r="F897" s="98"/>
      <c r="G897" s="98"/>
      <c r="H897" s="98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97"/>
      <c r="B898" s="97"/>
      <c r="C898" s="97"/>
      <c r="D898" s="98"/>
      <c r="E898" s="99"/>
      <c r="F898" s="98"/>
      <c r="G898" s="98"/>
      <c r="H898" s="98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97"/>
      <c r="B899" s="97"/>
      <c r="C899" s="97"/>
      <c r="D899" s="98"/>
      <c r="E899" s="99"/>
      <c r="F899" s="98"/>
      <c r="G899" s="98"/>
      <c r="H899" s="98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97"/>
      <c r="B900" s="97"/>
      <c r="C900" s="97"/>
      <c r="D900" s="98"/>
      <c r="E900" s="99"/>
      <c r="F900" s="98"/>
      <c r="G900" s="98"/>
      <c r="H900" s="98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97"/>
      <c r="B901" s="97"/>
      <c r="C901" s="97"/>
      <c r="D901" s="98"/>
      <c r="E901" s="99"/>
      <c r="F901" s="98"/>
      <c r="G901" s="98"/>
      <c r="H901" s="98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97"/>
      <c r="B902" s="97"/>
      <c r="C902" s="97"/>
      <c r="D902" s="98"/>
      <c r="E902" s="99"/>
      <c r="F902" s="98"/>
      <c r="G902" s="98"/>
      <c r="H902" s="98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97"/>
      <c r="B903" s="97"/>
      <c r="C903" s="97"/>
      <c r="D903" s="98"/>
      <c r="E903" s="99"/>
      <c r="F903" s="98"/>
      <c r="G903" s="98"/>
      <c r="H903" s="98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97"/>
      <c r="B904" s="97"/>
      <c r="C904" s="97"/>
      <c r="D904" s="98"/>
      <c r="E904" s="99"/>
      <c r="F904" s="98"/>
      <c r="G904" s="98"/>
      <c r="H904" s="98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97"/>
      <c r="B905" s="97"/>
      <c r="C905" s="97"/>
      <c r="D905" s="98"/>
      <c r="E905" s="99"/>
      <c r="F905" s="98"/>
      <c r="G905" s="98"/>
      <c r="H905" s="98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97"/>
      <c r="B906" s="97"/>
      <c r="C906" s="97"/>
      <c r="D906" s="98"/>
      <c r="E906" s="99"/>
      <c r="F906" s="98"/>
      <c r="G906" s="98"/>
      <c r="H906" s="98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97"/>
      <c r="B907" s="97"/>
      <c r="C907" s="97"/>
      <c r="D907" s="98"/>
      <c r="E907" s="99"/>
      <c r="F907" s="98"/>
      <c r="G907" s="98"/>
      <c r="H907" s="98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97"/>
      <c r="B908" s="97"/>
      <c r="C908" s="97"/>
      <c r="D908" s="98"/>
      <c r="E908" s="99"/>
      <c r="F908" s="98"/>
      <c r="G908" s="98"/>
      <c r="H908" s="98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97"/>
      <c r="B909" s="97"/>
      <c r="C909" s="97"/>
      <c r="D909" s="98"/>
      <c r="E909" s="99"/>
      <c r="F909" s="98"/>
      <c r="G909" s="98"/>
      <c r="H909" s="98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97"/>
      <c r="B910" s="97"/>
      <c r="C910" s="97"/>
      <c r="D910" s="98"/>
      <c r="E910" s="99"/>
      <c r="F910" s="98"/>
      <c r="G910" s="98"/>
      <c r="H910" s="98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97"/>
      <c r="B911" s="97"/>
      <c r="C911" s="97"/>
      <c r="D911" s="98"/>
      <c r="E911" s="99"/>
      <c r="F911" s="98"/>
      <c r="G911" s="98"/>
      <c r="H911" s="98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97"/>
      <c r="B912" s="97"/>
      <c r="C912" s="97"/>
      <c r="D912" s="98"/>
      <c r="E912" s="99"/>
      <c r="F912" s="98"/>
      <c r="G912" s="98"/>
      <c r="H912" s="98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97"/>
      <c r="B913" s="97"/>
      <c r="C913" s="97"/>
      <c r="D913" s="98"/>
      <c r="E913" s="99"/>
      <c r="F913" s="98"/>
      <c r="G913" s="98"/>
      <c r="H913" s="98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97"/>
      <c r="B914" s="97"/>
      <c r="C914" s="97"/>
      <c r="D914" s="98"/>
      <c r="E914" s="99"/>
      <c r="F914" s="98"/>
      <c r="G914" s="98"/>
      <c r="H914" s="98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97"/>
      <c r="B915" s="97"/>
      <c r="C915" s="97"/>
      <c r="D915" s="98"/>
      <c r="E915" s="99"/>
      <c r="F915" s="98"/>
      <c r="G915" s="98"/>
      <c r="H915" s="98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97"/>
      <c r="B916" s="97"/>
      <c r="C916" s="97"/>
      <c r="D916" s="98"/>
      <c r="E916" s="99"/>
      <c r="F916" s="98"/>
      <c r="G916" s="98"/>
      <c r="H916" s="98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97"/>
      <c r="B917" s="97"/>
      <c r="C917" s="97"/>
      <c r="D917" s="98"/>
      <c r="E917" s="99"/>
      <c r="F917" s="98"/>
      <c r="G917" s="98"/>
      <c r="H917" s="98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97"/>
      <c r="B918" s="97"/>
      <c r="C918" s="97"/>
      <c r="D918" s="98"/>
      <c r="E918" s="99"/>
      <c r="F918" s="98"/>
      <c r="G918" s="98"/>
      <c r="H918" s="98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97"/>
      <c r="B919" s="97"/>
      <c r="C919" s="97"/>
      <c r="D919" s="98"/>
      <c r="E919" s="99"/>
      <c r="F919" s="98"/>
      <c r="G919" s="98"/>
      <c r="H919" s="98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97"/>
      <c r="B920" s="97"/>
      <c r="C920" s="97"/>
      <c r="D920" s="98"/>
      <c r="E920" s="99"/>
      <c r="F920" s="98"/>
      <c r="G920" s="98"/>
      <c r="H920" s="98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97"/>
      <c r="B921" s="97"/>
      <c r="C921" s="97"/>
      <c r="D921" s="98"/>
      <c r="E921" s="99"/>
      <c r="F921" s="98"/>
      <c r="G921" s="98"/>
      <c r="H921" s="98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97"/>
      <c r="B922" s="97"/>
      <c r="C922" s="97"/>
      <c r="D922" s="98"/>
      <c r="E922" s="99"/>
      <c r="F922" s="98"/>
      <c r="G922" s="98"/>
      <c r="H922" s="98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97"/>
      <c r="B923" s="97"/>
      <c r="C923" s="97"/>
      <c r="D923" s="98"/>
      <c r="E923" s="99"/>
      <c r="F923" s="98"/>
      <c r="G923" s="98"/>
      <c r="H923" s="98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97"/>
      <c r="B924" s="97"/>
      <c r="C924" s="97"/>
      <c r="D924" s="98"/>
      <c r="E924" s="99"/>
      <c r="F924" s="98"/>
      <c r="G924" s="98"/>
      <c r="H924" s="98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97"/>
      <c r="B925" s="97"/>
      <c r="C925" s="97"/>
      <c r="D925" s="98"/>
      <c r="E925" s="99"/>
      <c r="F925" s="98"/>
      <c r="G925" s="98"/>
      <c r="H925" s="98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97"/>
      <c r="B926" s="97"/>
      <c r="C926" s="97"/>
      <c r="D926" s="98"/>
      <c r="E926" s="99"/>
      <c r="F926" s="98"/>
      <c r="G926" s="98"/>
      <c r="H926" s="98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97"/>
      <c r="B927" s="97"/>
      <c r="C927" s="97"/>
      <c r="D927" s="98"/>
      <c r="E927" s="99"/>
      <c r="F927" s="98"/>
      <c r="G927" s="98"/>
      <c r="H927" s="98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97"/>
      <c r="B928" s="97"/>
      <c r="C928" s="97"/>
      <c r="D928" s="98"/>
      <c r="E928" s="99"/>
      <c r="F928" s="98"/>
      <c r="G928" s="98"/>
      <c r="H928" s="98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97"/>
      <c r="B929" s="97"/>
      <c r="C929" s="97"/>
      <c r="D929" s="98"/>
      <c r="E929" s="99"/>
      <c r="F929" s="98"/>
      <c r="G929" s="98"/>
      <c r="H929" s="98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97"/>
      <c r="B930" s="97"/>
      <c r="C930" s="97"/>
      <c r="D930" s="98"/>
      <c r="E930" s="99"/>
      <c r="F930" s="98"/>
      <c r="G930" s="98"/>
      <c r="H930" s="98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97"/>
      <c r="B931" s="97"/>
      <c r="C931" s="97"/>
      <c r="D931" s="98"/>
      <c r="E931" s="99"/>
      <c r="F931" s="98"/>
      <c r="G931" s="98"/>
      <c r="H931" s="98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97"/>
      <c r="B932" s="97"/>
      <c r="C932" s="97"/>
      <c r="D932" s="98"/>
      <c r="E932" s="99"/>
      <c r="F932" s="98"/>
      <c r="G932" s="98"/>
      <c r="H932" s="98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97"/>
      <c r="B933" s="97"/>
      <c r="C933" s="97"/>
      <c r="D933" s="98"/>
      <c r="E933" s="99"/>
      <c r="F933" s="98"/>
      <c r="G933" s="98"/>
      <c r="H933" s="98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97"/>
      <c r="B934" s="97"/>
      <c r="C934" s="97"/>
      <c r="D934" s="98"/>
      <c r="E934" s="99"/>
      <c r="F934" s="98"/>
      <c r="G934" s="98"/>
      <c r="H934" s="98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97"/>
      <c r="B935" s="97"/>
      <c r="C935" s="97"/>
      <c r="D935" s="98"/>
      <c r="E935" s="99"/>
      <c r="F935" s="98"/>
      <c r="G935" s="98"/>
      <c r="H935" s="98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97"/>
      <c r="B936" s="97"/>
      <c r="C936" s="97"/>
      <c r="D936" s="98"/>
      <c r="E936" s="99"/>
      <c r="F936" s="98"/>
      <c r="G936" s="98"/>
      <c r="H936" s="98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97"/>
      <c r="B937" s="97"/>
      <c r="C937" s="97"/>
      <c r="D937" s="98"/>
      <c r="E937" s="99"/>
      <c r="F937" s="98"/>
      <c r="G937" s="98"/>
      <c r="H937" s="98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97"/>
      <c r="B938" s="97"/>
      <c r="C938" s="97"/>
      <c r="D938" s="98"/>
      <c r="E938" s="99"/>
      <c r="F938" s="98"/>
      <c r="G938" s="98"/>
      <c r="H938" s="98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97"/>
      <c r="B939" s="97"/>
      <c r="C939" s="97"/>
      <c r="D939" s="98"/>
      <c r="E939" s="99"/>
      <c r="F939" s="98"/>
      <c r="G939" s="98"/>
      <c r="H939" s="98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97"/>
      <c r="B940" s="97"/>
      <c r="C940" s="97"/>
      <c r="D940" s="98"/>
      <c r="E940" s="99"/>
      <c r="F940" s="98"/>
      <c r="G940" s="98"/>
      <c r="H940" s="98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97"/>
      <c r="B941" s="97"/>
      <c r="C941" s="97"/>
      <c r="D941" s="98"/>
      <c r="E941" s="99"/>
      <c r="F941" s="98"/>
      <c r="G941" s="98"/>
      <c r="H941" s="98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97"/>
      <c r="B942" s="97"/>
      <c r="C942" s="97"/>
      <c r="D942" s="98"/>
      <c r="E942" s="99"/>
      <c r="F942" s="98"/>
      <c r="G942" s="98"/>
      <c r="H942" s="98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97"/>
      <c r="B943" s="97"/>
      <c r="C943" s="97"/>
      <c r="D943" s="98"/>
      <c r="E943" s="99"/>
      <c r="F943" s="98"/>
      <c r="G943" s="98"/>
      <c r="H943" s="98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97"/>
      <c r="B944" s="97"/>
      <c r="C944" s="97"/>
      <c r="D944" s="98"/>
      <c r="E944" s="99"/>
      <c r="F944" s="98"/>
      <c r="G944" s="98"/>
      <c r="H944" s="98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97"/>
      <c r="B945" s="97"/>
      <c r="C945" s="97"/>
      <c r="D945" s="98"/>
      <c r="E945" s="99"/>
      <c r="F945" s="98"/>
      <c r="G945" s="98"/>
      <c r="H945" s="98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97"/>
      <c r="B946" s="97"/>
      <c r="C946" s="97"/>
      <c r="D946" s="98"/>
      <c r="E946" s="99"/>
      <c r="F946" s="98"/>
      <c r="G946" s="98"/>
      <c r="H946" s="98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97"/>
      <c r="B947" s="97"/>
      <c r="C947" s="97"/>
      <c r="D947" s="98"/>
      <c r="E947" s="99"/>
      <c r="F947" s="98"/>
      <c r="G947" s="98"/>
      <c r="H947" s="98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97"/>
      <c r="B948" s="97"/>
      <c r="C948" s="97"/>
      <c r="D948" s="98"/>
      <c r="E948" s="99"/>
      <c r="F948" s="98"/>
      <c r="G948" s="98"/>
      <c r="H948" s="98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97"/>
      <c r="B949" s="97"/>
      <c r="C949" s="97"/>
      <c r="D949" s="98"/>
      <c r="E949" s="99"/>
      <c r="F949" s="98"/>
      <c r="G949" s="98"/>
      <c r="H949" s="98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97"/>
      <c r="B950" s="97"/>
      <c r="C950" s="97"/>
      <c r="D950" s="98"/>
      <c r="E950" s="99"/>
      <c r="F950" s="98"/>
      <c r="G950" s="98"/>
      <c r="H950" s="98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97"/>
      <c r="B951" s="97"/>
      <c r="C951" s="97"/>
      <c r="D951" s="98"/>
      <c r="E951" s="99"/>
      <c r="F951" s="98"/>
      <c r="G951" s="98"/>
      <c r="H951" s="98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97"/>
      <c r="B952" s="97"/>
      <c r="C952" s="97"/>
      <c r="D952" s="98"/>
      <c r="E952" s="99"/>
      <c r="F952" s="98"/>
      <c r="G952" s="98"/>
      <c r="H952" s="98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97"/>
      <c r="B953" s="97"/>
      <c r="C953" s="97"/>
      <c r="D953" s="98"/>
      <c r="E953" s="99"/>
      <c r="F953" s="98"/>
      <c r="G953" s="98"/>
      <c r="H953" s="98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97"/>
      <c r="B954" s="97"/>
      <c r="C954" s="97"/>
      <c r="D954" s="98"/>
      <c r="E954" s="99"/>
      <c r="F954" s="98"/>
      <c r="G954" s="98"/>
      <c r="H954" s="98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97"/>
      <c r="B955" s="97"/>
      <c r="C955" s="97"/>
      <c r="D955" s="98"/>
      <c r="E955" s="99"/>
      <c r="F955" s="98"/>
      <c r="G955" s="98"/>
      <c r="H955" s="98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97"/>
      <c r="B956" s="97"/>
      <c r="C956" s="97"/>
      <c r="D956" s="98"/>
      <c r="E956" s="99"/>
      <c r="F956" s="98"/>
      <c r="G956" s="98"/>
      <c r="H956" s="98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97"/>
      <c r="B957" s="97"/>
      <c r="C957" s="97"/>
      <c r="D957" s="98"/>
      <c r="E957" s="99"/>
      <c r="F957" s="98"/>
      <c r="G957" s="98"/>
      <c r="H957" s="98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97"/>
      <c r="B958" s="97"/>
      <c r="C958" s="97"/>
      <c r="D958" s="98"/>
      <c r="E958" s="99"/>
      <c r="F958" s="98"/>
      <c r="G958" s="98"/>
      <c r="H958" s="98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97"/>
      <c r="B959" s="97"/>
      <c r="C959" s="97"/>
      <c r="D959" s="98"/>
      <c r="E959" s="99"/>
      <c r="F959" s="98"/>
      <c r="G959" s="98"/>
      <c r="H959" s="98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97"/>
      <c r="B960" s="97"/>
      <c r="C960" s="97"/>
      <c r="D960" s="98"/>
      <c r="E960" s="99"/>
      <c r="F960" s="98"/>
      <c r="G960" s="98"/>
      <c r="H960" s="98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97"/>
      <c r="B961" s="97"/>
      <c r="C961" s="97"/>
      <c r="D961" s="98"/>
      <c r="E961" s="99"/>
      <c r="F961" s="98"/>
      <c r="G961" s="98"/>
      <c r="H961" s="98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97"/>
      <c r="B962" s="97"/>
      <c r="C962" s="97"/>
      <c r="D962" s="98"/>
      <c r="E962" s="99"/>
      <c r="F962" s="98"/>
      <c r="G962" s="98"/>
      <c r="H962" s="98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97"/>
      <c r="B963" s="97"/>
      <c r="C963" s="97"/>
      <c r="D963" s="98"/>
      <c r="E963" s="99"/>
      <c r="F963" s="98"/>
      <c r="G963" s="98"/>
      <c r="H963" s="98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97"/>
      <c r="B964" s="97"/>
      <c r="C964" s="97"/>
      <c r="D964" s="98"/>
      <c r="E964" s="99"/>
      <c r="F964" s="98"/>
      <c r="G964" s="98"/>
      <c r="H964" s="98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97"/>
      <c r="B965" s="97"/>
      <c r="C965" s="97"/>
      <c r="D965" s="98"/>
      <c r="E965" s="99"/>
      <c r="F965" s="98"/>
      <c r="G965" s="98"/>
      <c r="H965" s="98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97"/>
      <c r="B966" s="97"/>
      <c r="C966" s="97"/>
      <c r="D966" s="98"/>
      <c r="E966" s="99"/>
      <c r="F966" s="98"/>
      <c r="G966" s="98"/>
      <c r="H966" s="98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97"/>
      <c r="B967" s="97"/>
      <c r="C967" s="97"/>
      <c r="D967" s="98"/>
      <c r="E967" s="99"/>
      <c r="F967" s="98"/>
      <c r="G967" s="98"/>
      <c r="H967" s="98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97"/>
      <c r="B968" s="97"/>
      <c r="C968" s="97"/>
      <c r="D968" s="98"/>
      <c r="E968" s="99"/>
      <c r="F968" s="98"/>
      <c r="G968" s="98"/>
      <c r="H968" s="98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97"/>
      <c r="B969" s="97"/>
      <c r="C969" s="97"/>
      <c r="D969" s="98"/>
      <c r="E969" s="99"/>
      <c r="F969" s="98"/>
      <c r="G969" s="98"/>
      <c r="H969" s="98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97"/>
      <c r="B970" s="97"/>
      <c r="C970" s="97"/>
      <c r="D970" s="98"/>
      <c r="E970" s="99"/>
      <c r="F970" s="98"/>
      <c r="G970" s="98"/>
      <c r="H970" s="98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97"/>
      <c r="B971" s="97"/>
      <c r="C971" s="97"/>
      <c r="D971" s="98"/>
      <c r="E971" s="99"/>
      <c r="F971" s="98"/>
      <c r="G971" s="98"/>
      <c r="H971" s="98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97"/>
      <c r="B972" s="97"/>
      <c r="C972" s="97"/>
      <c r="D972" s="98"/>
      <c r="E972" s="99"/>
      <c r="F972" s="98"/>
      <c r="G972" s="98"/>
      <c r="H972" s="98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97"/>
      <c r="B973" s="97"/>
      <c r="C973" s="97"/>
      <c r="D973" s="98"/>
      <c r="E973" s="99"/>
      <c r="F973" s="98"/>
      <c r="G973" s="98"/>
      <c r="H973" s="98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97"/>
      <c r="B974" s="97"/>
      <c r="C974" s="97"/>
      <c r="D974" s="98"/>
      <c r="E974" s="99"/>
      <c r="F974" s="98"/>
      <c r="G974" s="98"/>
      <c r="H974" s="98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97"/>
      <c r="B975" s="97"/>
      <c r="C975" s="97"/>
      <c r="D975" s="98"/>
      <c r="E975" s="99"/>
      <c r="F975" s="98"/>
      <c r="G975" s="98"/>
      <c r="H975" s="98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97"/>
      <c r="B976" s="97"/>
      <c r="C976" s="97"/>
      <c r="D976" s="98"/>
      <c r="E976" s="99"/>
      <c r="F976" s="98"/>
      <c r="G976" s="98"/>
      <c r="H976" s="98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97"/>
      <c r="B977" s="97"/>
      <c r="C977" s="97"/>
      <c r="D977" s="98"/>
      <c r="E977" s="99"/>
      <c r="F977" s="98"/>
      <c r="G977" s="98"/>
      <c r="H977" s="98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97"/>
      <c r="B978" s="97"/>
      <c r="C978" s="97"/>
      <c r="D978" s="98"/>
      <c r="E978" s="99"/>
      <c r="F978" s="98"/>
      <c r="G978" s="98"/>
      <c r="H978" s="98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97"/>
      <c r="B979" s="97"/>
      <c r="C979" s="97"/>
      <c r="D979" s="98"/>
      <c r="E979" s="99"/>
      <c r="F979" s="98"/>
      <c r="G979" s="98"/>
      <c r="H979" s="98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97"/>
      <c r="B980" s="97"/>
      <c r="C980" s="97"/>
      <c r="D980" s="98"/>
      <c r="E980" s="99"/>
      <c r="F980" s="98"/>
      <c r="G980" s="98"/>
      <c r="H980" s="98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97"/>
      <c r="B981" s="97"/>
      <c r="C981" s="97"/>
      <c r="D981" s="98"/>
      <c r="E981" s="99"/>
      <c r="F981" s="98"/>
      <c r="G981" s="98"/>
      <c r="H981" s="98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97"/>
      <c r="B982" s="97"/>
      <c r="C982" s="97"/>
      <c r="D982" s="98"/>
      <c r="E982" s="99"/>
      <c r="F982" s="98"/>
      <c r="G982" s="98"/>
      <c r="H982" s="98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97"/>
      <c r="B983" s="97"/>
      <c r="C983" s="97"/>
      <c r="D983" s="98"/>
      <c r="E983" s="99"/>
      <c r="F983" s="98"/>
      <c r="G983" s="98"/>
      <c r="H983" s="98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97"/>
      <c r="B984" s="97"/>
      <c r="C984" s="97"/>
      <c r="D984" s="98"/>
      <c r="E984" s="99"/>
      <c r="F984" s="98"/>
      <c r="G984" s="98"/>
      <c r="H984" s="98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97"/>
      <c r="B985" s="97"/>
      <c r="C985" s="97"/>
      <c r="D985" s="98"/>
      <c r="E985" s="99"/>
      <c r="F985" s="98"/>
      <c r="G985" s="98"/>
      <c r="H985" s="98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97"/>
      <c r="B986" s="97"/>
      <c r="C986" s="97"/>
      <c r="D986" s="98"/>
      <c r="E986" s="99"/>
      <c r="F986" s="98"/>
      <c r="G986" s="98"/>
      <c r="H986" s="98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>
      <c r="A987" s="97"/>
      <c r="B987" s="97"/>
      <c r="C987" s="97"/>
      <c r="D987" s="98"/>
      <c r="E987" s="99"/>
      <c r="F987" s="98"/>
      <c r="G987" s="98"/>
      <c r="H987" s="98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>
      <c r="A988" s="97"/>
      <c r="B988" s="97"/>
      <c r="C988" s="97"/>
      <c r="D988" s="98"/>
      <c r="E988" s="99"/>
      <c r="F988" s="98"/>
      <c r="G988" s="98"/>
      <c r="H988" s="98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>
      <c r="A989" s="97"/>
      <c r="B989" s="97"/>
      <c r="C989" s="97"/>
      <c r="D989" s="98"/>
      <c r="E989" s="99"/>
      <c r="F989" s="98"/>
      <c r="G989" s="98"/>
      <c r="H989" s="98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>
      <c r="A990" s="97"/>
      <c r="B990" s="97"/>
      <c r="C990" s="97"/>
      <c r="D990" s="98"/>
      <c r="E990" s="99"/>
      <c r="F990" s="98"/>
      <c r="G990" s="98"/>
      <c r="H990" s="98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>
      <c r="A991" s="97"/>
      <c r="B991" s="97"/>
      <c r="C991" s="97"/>
      <c r="D991" s="98"/>
      <c r="E991" s="99"/>
      <c r="F991" s="98"/>
      <c r="G991" s="98"/>
      <c r="H991" s="98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>
      <c r="A992" s="97"/>
      <c r="B992" s="97"/>
      <c r="C992" s="97"/>
      <c r="D992" s="98"/>
      <c r="E992" s="99"/>
      <c r="F992" s="98"/>
      <c r="G992" s="98"/>
      <c r="H992" s="98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>
      <c r="A993" s="97"/>
      <c r="B993" s="97"/>
      <c r="C993" s="97"/>
      <c r="D993" s="98"/>
      <c r="E993" s="99"/>
      <c r="F993" s="98"/>
      <c r="G993" s="98"/>
      <c r="H993" s="98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>
      <c r="A994" s="97"/>
      <c r="B994" s="97"/>
      <c r="C994" s="97"/>
      <c r="D994" s="98"/>
      <c r="E994" s="99"/>
      <c r="F994" s="98"/>
      <c r="G994" s="98"/>
      <c r="H994" s="98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>
      <c r="A995" s="97"/>
      <c r="B995" s="97"/>
      <c r="C995" s="97"/>
      <c r="D995" s="98"/>
      <c r="E995" s="99"/>
      <c r="F995" s="98"/>
      <c r="G995" s="98"/>
      <c r="H995" s="98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>
      <c r="A996" s="97"/>
      <c r="B996" s="97"/>
      <c r="C996" s="97"/>
      <c r="D996" s="98"/>
      <c r="E996" s="99"/>
      <c r="F996" s="98"/>
      <c r="G996" s="98"/>
      <c r="H996" s="98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>
      <c r="A997" s="97"/>
      <c r="B997" s="97"/>
      <c r="C997" s="97"/>
      <c r="D997" s="98"/>
      <c r="E997" s="99"/>
      <c r="F997" s="98"/>
      <c r="G997" s="98"/>
      <c r="H997" s="98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>
      <c r="A998" s="97"/>
      <c r="B998" s="97"/>
      <c r="C998" s="97"/>
      <c r="D998" s="98"/>
      <c r="E998" s="99"/>
      <c r="F998" s="98"/>
      <c r="G998" s="98"/>
      <c r="H998" s="98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>
      <c r="A999" s="97"/>
      <c r="B999" s="97"/>
      <c r="C999" s="97"/>
      <c r="D999" s="98"/>
      <c r="E999" s="99"/>
      <c r="F999" s="98"/>
      <c r="G999" s="98"/>
      <c r="H999" s="98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2.75" customHeight="1">
      <c r="A1000" s="97"/>
      <c r="B1000" s="97"/>
      <c r="C1000" s="97"/>
      <c r="D1000" s="98"/>
      <c r="E1000" s="99"/>
      <c r="F1000" s="98"/>
      <c r="G1000" s="98"/>
      <c r="H1000" s="98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display="SignUp" location="SignUp!A1" ref="F11"/>
    <hyperlink display="SignIn" location="SignIn!A1" ref="F12"/>
    <hyperlink display="ConfirmSignUp" location="ConfirmSignUp!A1" ref="F13"/>
    <hyperlink display="RequestCreateOrganization" location="RequestCreateOrganization!A1" ref="F14"/>
    <hyperlink display="CreateCampaign" location="CreateCampaign!A1" ref="F15"/>
    <hyperlink display="CreateDonation" location="CreateDonation!A1" ref="F16"/>
    <hyperlink display="CreateOperationRequest" location="CreateOperationRequest!A1" ref="F17"/>
    <hyperlink display="CreateIngredientRequest" location="CreateIngredientRequest!A1" ref="F18"/>
    <hyperlink display="CreateMealBatch" location="CreateMealBatch!A1" ref="F19"/>
    <hyperlink display="CreateCampaignCategory" location="CreateCampaignCategory!A1" ref="F20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2" width="4.25"/>
    <col customWidth="1" min="13" max="21" width="2.88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141</v>
      </c>
      <c r="B2" s="148"/>
      <c r="C2" s="149" t="str">
        <f>Functions!E11</f>
        <v>SU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Functions!D11</f>
        <v>signUp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142</v>
      </c>
      <c r="B3" s="19"/>
      <c r="C3" s="159" t="s">
        <v>49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49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</row>
    <row r="4" ht="13.5" customHeight="1">
      <c r="A4" s="158" t="s">
        <v>144</v>
      </c>
      <c r="B4" s="19"/>
      <c r="C4" s="167">
        <v>100.0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3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</row>
    <row r="5" ht="13.5" customHeight="1">
      <c r="A5" s="158" t="s">
        <v>146</v>
      </c>
      <c r="B5" s="19"/>
      <c r="C5" s="171" t="s">
        <v>147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</row>
    <row r="7" ht="13.5" customHeight="1">
      <c r="A7" s="175">
        <f>COUNTIF(F41:HQ41,"P")</f>
        <v>7</v>
      </c>
      <c r="B7" s="176"/>
      <c r="C7" s="177">
        <f>COUNTIF(F41:HQ41,"F")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COUNTIF(E40:HQ40,"N")</f>
        <v>1</v>
      </c>
      <c r="M7" s="179">
        <f>COUNTIF(E40:HQ40,"A")</f>
        <v>3</v>
      </c>
      <c r="N7" s="179">
        <f>COUNTIF(E40:HQ40,"B")</f>
        <v>3</v>
      </c>
      <c r="O7" s="177">
        <f>COUNTA(E9:HT9)</f>
        <v>7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187" t="s">
        <v>155</v>
      </c>
      <c r="M9" s="188"/>
      <c r="N9" s="157"/>
      <c r="O9" s="145"/>
      <c r="P9" s="145"/>
      <c r="Q9" s="145"/>
      <c r="R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45"/>
      <c r="N10" s="145"/>
      <c r="O10" s="145"/>
      <c r="P10" s="145"/>
      <c r="Q10" s="145"/>
      <c r="R10" s="145"/>
    </row>
    <row r="11" ht="13.5" customHeight="1">
      <c r="A11" s="195"/>
      <c r="B11" s="196"/>
      <c r="C11" s="197"/>
      <c r="D11" s="198" t="s">
        <v>158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45"/>
      <c r="N11" s="157"/>
      <c r="O11" s="145"/>
      <c r="P11" s="145"/>
      <c r="Q11" s="145"/>
      <c r="R11" s="145"/>
    </row>
    <row r="12" ht="13.5" customHeight="1">
      <c r="A12" s="195"/>
      <c r="B12" s="200" t="s">
        <v>160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145"/>
      <c r="N12" s="145"/>
      <c r="O12" s="145"/>
      <c r="P12" s="145"/>
      <c r="Q12" s="145"/>
      <c r="R12" s="145"/>
    </row>
    <row r="13" ht="13.5" customHeight="1">
      <c r="A13" s="195"/>
      <c r="B13" s="196"/>
      <c r="C13" s="197"/>
      <c r="D13" s="202" t="s">
        <v>161</v>
      </c>
      <c r="E13" s="203"/>
      <c r="F13" s="199" t="s">
        <v>159</v>
      </c>
      <c r="G13" s="201"/>
      <c r="H13" s="199" t="s">
        <v>159</v>
      </c>
      <c r="I13" s="201"/>
      <c r="J13" s="199" t="s">
        <v>159</v>
      </c>
      <c r="K13" s="199" t="s">
        <v>159</v>
      </c>
      <c r="L13" s="201"/>
      <c r="M13" s="145"/>
      <c r="N13" s="145"/>
      <c r="O13" s="145"/>
      <c r="P13" s="145"/>
      <c r="Q13" s="145"/>
      <c r="R13" s="145"/>
    </row>
    <row r="14" ht="13.5" customHeight="1">
      <c r="A14" s="195"/>
      <c r="B14" s="196"/>
      <c r="C14" s="197"/>
      <c r="D14" s="202" t="s">
        <v>162</v>
      </c>
      <c r="E14" s="204"/>
      <c r="F14" s="201"/>
      <c r="G14" s="199" t="s">
        <v>159</v>
      </c>
      <c r="H14" s="201"/>
      <c r="I14" s="201"/>
      <c r="J14" s="201"/>
      <c r="K14" s="201"/>
      <c r="L14" s="201"/>
      <c r="M14" s="145"/>
      <c r="N14" s="145"/>
      <c r="O14" s="145"/>
      <c r="P14" s="145"/>
      <c r="Q14" s="145"/>
      <c r="R14" s="145"/>
    </row>
    <row r="15" ht="13.5" customHeight="1">
      <c r="A15" s="195"/>
      <c r="B15" s="196"/>
      <c r="C15" s="197"/>
      <c r="D15" s="202" t="s">
        <v>163</v>
      </c>
      <c r="E15" s="204"/>
      <c r="F15" s="201"/>
      <c r="G15" s="201"/>
      <c r="H15" s="201"/>
      <c r="I15" s="199" t="s">
        <v>159</v>
      </c>
      <c r="J15" s="201"/>
      <c r="K15" s="201"/>
      <c r="L15" s="201"/>
      <c r="M15" s="145"/>
      <c r="N15" s="145"/>
      <c r="O15" s="145"/>
      <c r="P15" s="145"/>
      <c r="Q15" s="145"/>
      <c r="R15" s="145"/>
    </row>
    <row r="16" ht="13.5" customHeight="1">
      <c r="A16" s="195"/>
      <c r="B16" s="196"/>
      <c r="C16" s="197"/>
      <c r="D16" s="202" t="s">
        <v>164</v>
      </c>
      <c r="E16" s="204"/>
      <c r="F16" s="201"/>
      <c r="G16" s="201"/>
      <c r="H16" s="201"/>
      <c r="I16" s="201"/>
      <c r="J16" s="201"/>
      <c r="K16" s="201"/>
      <c r="L16" s="199" t="s">
        <v>159</v>
      </c>
      <c r="M16" s="145"/>
      <c r="N16" s="145"/>
      <c r="O16" s="145"/>
      <c r="P16" s="145"/>
      <c r="Q16" s="145"/>
      <c r="R16" s="145"/>
    </row>
    <row r="17" ht="13.5" customHeight="1">
      <c r="A17" s="195"/>
      <c r="B17" s="200" t="s">
        <v>165</v>
      </c>
      <c r="C17" s="197"/>
      <c r="D17" s="198"/>
      <c r="E17" s="204"/>
      <c r="F17" s="201"/>
      <c r="G17" s="201"/>
      <c r="H17" s="201"/>
      <c r="I17" s="201"/>
      <c r="J17" s="201"/>
      <c r="K17" s="201"/>
      <c r="L17" s="201"/>
      <c r="M17" s="205"/>
      <c r="N17" s="145"/>
      <c r="O17" s="145"/>
      <c r="P17" s="145"/>
      <c r="Q17" s="145"/>
      <c r="R17" s="145"/>
    </row>
    <row r="18" ht="13.5" customHeight="1">
      <c r="A18" s="195"/>
      <c r="B18" s="196"/>
      <c r="C18" s="197"/>
      <c r="D18" s="202" t="s">
        <v>163</v>
      </c>
      <c r="E18" s="204"/>
      <c r="F18" s="201"/>
      <c r="G18" s="201"/>
      <c r="H18" s="201"/>
      <c r="I18" s="201"/>
      <c r="J18" s="201"/>
      <c r="K18" s="199" t="s">
        <v>159</v>
      </c>
      <c r="L18" s="201"/>
      <c r="M18" s="205"/>
      <c r="N18" s="145"/>
      <c r="O18" s="145"/>
      <c r="P18" s="145"/>
      <c r="Q18" s="145"/>
      <c r="R18" s="145"/>
    </row>
    <row r="19" ht="13.5" customHeight="1">
      <c r="A19" s="195"/>
      <c r="B19" s="196"/>
      <c r="C19" s="197"/>
      <c r="D19" s="206" t="s">
        <v>166</v>
      </c>
      <c r="F19" s="201" t="s">
        <v>159</v>
      </c>
      <c r="G19" s="199" t="s">
        <v>159</v>
      </c>
      <c r="H19" s="199" t="s">
        <v>159</v>
      </c>
      <c r="I19" s="199" t="s">
        <v>159</v>
      </c>
      <c r="J19" s="199" t="s">
        <v>159</v>
      </c>
      <c r="K19" s="201"/>
      <c r="L19" s="199" t="s">
        <v>159</v>
      </c>
      <c r="M19" s="145"/>
      <c r="N19" s="145"/>
      <c r="O19" s="145"/>
      <c r="P19" s="145"/>
      <c r="Q19" s="145"/>
      <c r="R19" s="145"/>
    </row>
    <row r="20" ht="13.5" customHeight="1">
      <c r="A20" s="195"/>
      <c r="B20" s="200" t="s">
        <v>167</v>
      </c>
      <c r="C20" s="197"/>
      <c r="D20" s="198"/>
      <c r="E20" s="204"/>
      <c r="F20" s="201"/>
      <c r="G20" s="201"/>
      <c r="H20" s="201"/>
      <c r="I20" s="201"/>
      <c r="J20" s="201"/>
      <c r="K20" s="201"/>
      <c r="L20" s="201"/>
      <c r="M20" s="145"/>
      <c r="N20" s="145"/>
      <c r="O20" s="145"/>
      <c r="P20" s="145"/>
      <c r="Q20" s="145"/>
      <c r="R20" s="145"/>
    </row>
    <row r="21" ht="13.5" customHeight="1">
      <c r="A21" s="195"/>
      <c r="B21" s="196"/>
      <c r="C21" s="197"/>
      <c r="D21" s="202" t="s">
        <v>163</v>
      </c>
      <c r="E21" s="204"/>
      <c r="F21" s="201"/>
      <c r="G21" s="201"/>
      <c r="H21" s="201"/>
      <c r="I21" s="201"/>
      <c r="J21" s="199" t="s">
        <v>159</v>
      </c>
      <c r="K21" s="201"/>
      <c r="L21" s="201"/>
      <c r="M21" s="145"/>
      <c r="N21" s="145"/>
      <c r="O21" s="145"/>
      <c r="P21" s="145"/>
      <c r="Q21" s="145"/>
      <c r="R21" s="145"/>
    </row>
    <row r="22" ht="13.5" customHeight="1">
      <c r="A22" s="195"/>
      <c r="B22" s="196"/>
      <c r="C22" s="197"/>
      <c r="D22" s="202">
        <v>123.0</v>
      </c>
      <c r="E22" s="204"/>
      <c r="F22" s="201"/>
      <c r="G22" s="201"/>
      <c r="H22" s="199" t="s">
        <v>159</v>
      </c>
      <c r="I22" s="201"/>
      <c r="J22" s="201"/>
      <c r="K22" s="201"/>
      <c r="L22" s="201"/>
      <c r="M22" s="145"/>
      <c r="N22" s="145"/>
      <c r="O22" s="145"/>
      <c r="P22" s="145"/>
      <c r="Q22" s="145"/>
      <c r="R22" s="145"/>
    </row>
    <row r="23" ht="13.5" customHeight="1">
      <c r="A23" s="195"/>
      <c r="B23" s="196"/>
      <c r="C23" s="197"/>
      <c r="D23" s="202">
        <v>123456.0</v>
      </c>
      <c r="E23" s="204"/>
      <c r="F23" s="199" t="s">
        <v>159</v>
      </c>
      <c r="G23" s="199" t="s">
        <v>159</v>
      </c>
      <c r="H23" s="201"/>
      <c r="I23" s="199" t="s">
        <v>159</v>
      </c>
      <c r="J23" s="201"/>
      <c r="K23" s="199" t="s">
        <v>159</v>
      </c>
      <c r="L23" s="199" t="s">
        <v>159</v>
      </c>
      <c r="M23" s="145"/>
      <c r="N23" s="145"/>
      <c r="O23" s="145"/>
      <c r="P23" s="145"/>
      <c r="Q23" s="145"/>
      <c r="R23" s="145"/>
    </row>
    <row r="24" ht="13.5" customHeight="1">
      <c r="A24" s="207" t="s">
        <v>168</v>
      </c>
      <c r="B24" s="208" t="s">
        <v>169</v>
      </c>
      <c r="C24" s="209"/>
      <c r="D24" s="210"/>
      <c r="E24" s="211"/>
      <c r="F24" s="194"/>
      <c r="G24" s="194"/>
      <c r="H24" s="194"/>
      <c r="I24" s="194"/>
      <c r="J24" s="194"/>
      <c r="K24" s="194"/>
      <c r="L24" s="194"/>
      <c r="M24" s="145"/>
      <c r="N24" s="145"/>
      <c r="O24" s="145"/>
      <c r="P24" s="145"/>
      <c r="Q24" s="145"/>
      <c r="R24" s="145"/>
    </row>
    <row r="25" ht="13.5" customHeight="1">
      <c r="A25" s="212"/>
      <c r="B25" s="213"/>
      <c r="C25" s="214"/>
      <c r="D25" s="215" t="s">
        <v>170</v>
      </c>
      <c r="E25" s="216"/>
      <c r="F25" s="201" t="s">
        <v>159</v>
      </c>
      <c r="G25" s="201"/>
      <c r="H25" s="201"/>
      <c r="I25" s="201"/>
      <c r="J25" s="201"/>
      <c r="K25" s="201"/>
      <c r="L25" s="201"/>
      <c r="M25" s="145"/>
      <c r="N25" s="145"/>
      <c r="O25" s="145"/>
      <c r="P25" s="145"/>
      <c r="Q25" s="145"/>
      <c r="R25" s="145"/>
    </row>
    <row r="26" ht="13.5" customHeight="1">
      <c r="A26" s="212"/>
      <c r="B26" s="213"/>
      <c r="C26" s="217"/>
      <c r="D26" s="215" t="s">
        <v>171</v>
      </c>
      <c r="E26" s="218"/>
      <c r="F26" s="201"/>
      <c r="G26" s="199" t="s">
        <v>159</v>
      </c>
      <c r="H26" s="199" t="s">
        <v>159</v>
      </c>
      <c r="I26" s="199" t="s">
        <v>159</v>
      </c>
      <c r="J26" s="199" t="s">
        <v>159</v>
      </c>
      <c r="K26" s="199" t="s">
        <v>159</v>
      </c>
      <c r="L26" s="199" t="s">
        <v>159</v>
      </c>
      <c r="M26" s="145"/>
      <c r="N26" s="145"/>
      <c r="O26" s="145"/>
      <c r="P26" s="145"/>
      <c r="Q26" s="145"/>
      <c r="R26" s="145"/>
    </row>
    <row r="27" ht="13.5" customHeight="1">
      <c r="A27" s="212"/>
      <c r="B27" s="213" t="s">
        <v>172</v>
      </c>
      <c r="C27" s="217"/>
      <c r="D27" s="215"/>
      <c r="E27" s="218"/>
      <c r="F27" s="201"/>
      <c r="G27" s="199"/>
      <c r="H27" s="201"/>
      <c r="I27" s="201"/>
      <c r="J27" s="201"/>
      <c r="K27" s="201"/>
      <c r="L27" s="201"/>
      <c r="M27" s="145"/>
      <c r="N27" s="145"/>
      <c r="O27" s="145"/>
      <c r="P27" s="145"/>
      <c r="Q27" s="145"/>
      <c r="R27" s="145"/>
    </row>
    <row r="28" ht="13.5" customHeight="1">
      <c r="A28" s="212"/>
      <c r="B28" s="213"/>
      <c r="C28" s="217"/>
      <c r="D28" s="219" t="s">
        <v>173</v>
      </c>
      <c r="E28" s="218"/>
      <c r="F28" s="201"/>
      <c r="G28" s="199" t="s">
        <v>159</v>
      </c>
      <c r="H28" s="201"/>
      <c r="I28" s="201"/>
      <c r="J28" s="201"/>
      <c r="K28" s="201"/>
      <c r="L28" s="201"/>
      <c r="M28" s="145"/>
      <c r="N28" s="145"/>
      <c r="O28" s="145"/>
      <c r="P28" s="145"/>
      <c r="Q28" s="145"/>
      <c r="R28" s="145"/>
    </row>
    <row r="29" ht="13.5" customHeight="1">
      <c r="A29" s="212"/>
      <c r="B29" s="213"/>
      <c r="C29" s="217"/>
      <c r="D29" s="219" t="s">
        <v>174</v>
      </c>
      <c r="E29" s="218"/>
      <c r="F29" s="201"/>
      <c r="G29" s="199"/>
      <c r="H29" s="199" t="s">
        <v>159</v>
      </c>
      <c r="I29" s="201"/>
      <c r="J29" s="201"/>
      <c r="K29" s="201"/>
      <c r="L29" s="201"/>
      <c r="M29" s="145"/>
      <c r="N29" s="145"/>
      <c r="O29" s="145"/>
      <c r="P29" s="145"/>
      <c r="Q29" s="145"/>
      <c r="R29" s="145"/>
    </row>
    <row r="30" ht="13.5" customHeight="1">
      <c r="A30" s="212"/>
      <c r="B30" s="213"/>
      <c r="C30" s="217"/>
      <c r="D30" s="219" t="s">
        <v>175</v>
      </c>
      <c r="E30" s="218"/>
      <c r="F30" s="201"/>
      <c r="G30" s="199"/>
      <c r="H30" s="201"/>
      <c r="I30" s="199" t="s">
        <v>159</v>
      </c>
      <c r="J30" s="199" t="s">
        <v>159</v>
      </c>
      <c r="K30" s="199" t="s">
        <v>159</v>
      </c>
      <c r="L30" s="199" t="s">
        <v>159</v>
      </c>
      <c r="M30" s="145"/>
      <c r="N30" s="145"/>
      <c r="O30" s="145"/>
      <c r="P30" s="145"/>
      <c r="Q30" s="145"/>
      <c r="R30" s="145"/>
    </row>
    <row r="31" ht="13.5" customHeight="1">
      <c r="A31" s="212"/>
      <c r="B31" s="213"/>
      <c r="C31" s="217"/>
      <c r="D31" s="219"/>
      <c r="E31" s="218"/>
      <c r="F31" s="201"/>
      <c r="G31" s="199"/>
      <c r="H31" s="201"/>
      <c r="I31" s="199"/>
      <c r="J31" s="201"/>
      <c r="K31" s="201"/>
      <c r="L31" s="201"/>
      <c r="M31" s="145"/>
      <c r="N31" s="145"/>
      <c r="O31" s="145"/>
      <c r="P31" s="145"/>
      <c r="Q31" s="145"/>
      <c r="R31" s="145"/>
    </row>
    <row r="32" ht="13.5" customHeight="1">
      <c r="A32" s="212"/>
      <c r="B32" s="213" t="s">
        <v>176</v>
      </c>
      <c r="C32" s="217"/>
      <c r="D32" s="215"/>
      <c r="E32" s="218"/>
      <c r="F32" s="201"/>
      <c r="G32" s="201"/>
      <c r="H32" s="201"/>
      <c r="I32" s="201"/>
      <c r="J32" s="201"/>
      <c r="K32" s="201"/>
      <c r="L32" s="201"/>
      <c r="M32" s="145"/>
      <c r="N32" s="145"/>
      <c r="O32" s="145"/>
      <c r="P32" s="145"/>
      <c r="Q32" s="145"/>
      <c r="R32" s="145"/>
    </row>
    <row r="33" ht="13.5" customHeight="1">
      <c r="A33" s="212"/>
      <c r="B33" s="213"/>
      <c r="C33" s="217"/>
      <c r="D33" s="219" t="s">
        <v>177</v>
      </c>
      <c r="E33" s="218"/>
      <c r="F33" s="199" t="s">
        <v>159</v>
      </c>
      <c r="G33" s="201"/>
      <c r="H33" s="201"/>
      <c r="I33" s="201"/>
      <c r="J33" s="201"/>
      <c r="K33" s="201"/>
      <c r="L33" s="201"/>
      <c r="M33" s="145"/>
      <c r="N33" s="145"/>
      <c r="O33" s="145"/>
      <c r="P33" s="145"/>
      <c r="Q33" s="145"/>
      <c r="R33" s="145"/>
    </row>
    <row r="34" ht="13.5" customHeight="1">
      <c r="A34" s="212"/>
      <c r="B34" s="220"/>
      <c r="C34" s="221"/>
      <c r="D34" s="222" t="s">
        <v>178</v>
      </c>
      <c r="E34" s="223"/>
      <c r="F34" s="224"/>
      <c r="G34" s="224" t="s">
        <v>159</v>
      </c>
      <c r="H34" s="225"/>
      <c r="I34" s="225"/>
      <c r="J34" s="225"/>
      <c r="K34" s="225"/>
      <c r="L34" s="225"/>
      <c r="M34" s="145"/>
      <c r="N34" s="145"/>
      <c r="O34" s="145"/>
      <c r="P34" s="145"/>
      <c r="Q34" s="145"/>
      <c r="R34" s="145"/>
    </row>
    <row r="35" ht="13.5" customHeight="1">
      <c r="A35" s="212"/>
      <c r="B35" s="220"/>
      <c r="C35" s="221"/>
      <c r="D35" s="222" t="s">
        <v>179</v>
      </c>
      <c r="E35" s="223"/>
      <c r="F35" s="224"/>
      <c r="G35" s="225"/>
      <c r="H35" s="224" t="s">
        <v>159</v>
      </c>
      <c r="I35" s="225"/>
      <c r="J35" s="225"/>
      <c r="K35" s="225"/>
      <c r="L35" s="225"/>
      <c r="M35" s="145"/>
      <c r="N35" s="145"/>
      <c r="O35" s="145"/>
      <c r="P35" s="145"/>
      <c r="Q35" s="145"/>
      <c r="R35" s="145"/>
    </row>
    <row r="36" ht="13.5" customHeight="1">
      <c r="A36" s="212"/>
      <c r="B36" s="220"/>
      <c r="C36" s="221"/>
      <c r="D36" s="222" t="s">
        <v>180</v>
      </c>
      <c r="E36" s="223"/>
      <c r="F36" s="224"/>
      <c r="G36" s="225"/>
      <c r="H36" s="225"/>
      <c r="I36" s="224" t="s">
        <v>159</v>
      </c>
      <c r="J36" s="225"/>
      <c r="K36" s="225"/>
      <c r="L36" s="225"/>
      <c r="M36" s="145"/>
      <c r="N36" s="145"/>
      <c r="O36" s="145"/>
      <c r="P36" s="145"/>
      <c r="Q36" s="145"/>
      <c r="R36" s="145"/>
    </row>
    <row r="37" ht="13.5" customHeight="1">
      <c r="A37" s="212"/>
      <c r="B37" s="220"/>
      <c r="C37" s="221"/>
      <c r="D37" s="222" t="s">
        <v>181</v>
      </c>
      <c r="E37" s="223"/>
      <c r="F37" s="224"/>
      <c r="G37" s="225"/>
      <c r="H37" s="225"/>
      <c r="I37" s="224"/>
      <c r="J37" s="224" t="s">
        <v>159</v>
      </c>
      <c r="K37" s="225"/>
      <c r="L37" s="225"/>
      <c r="M37" s="145"/>
      <c r="N37" s="145"/>
      <c r="O37" s="145"/>
      <c r="P37" s="145"/>
      <c r="Q37" s="145"/>
      <c r="R37" s="145"/>
    </row>
    <row r="38" ht="13.5" customHeight="1">
      <c r="A38" s="212"/>
      <c r="B38" s="220"/>
      <c r="C38" s="221"/>
      <c r="D38" s="222" t="s">
        <v>182</v>
      </c>
      <c r="E38" s="223"/>
      <c r="F38" s="224"/>
      <c r="G38" s="225"/>
      <c r="H38" s="225"/>
      <c r="I38" s="224"/>
      <c r="J38" s="224"/>
      <c r="K38" s="224" t="s">
        <v>159</v>
      </c>
      <c r="L38" s="225"/>
      <c r="M38" s="145"/>
      <c r="N38" s="145"/>
      <c r="O38" s="145"/>
      <c r="P38" s="145"/>
      <c r="Q38" s="145"/>
      <c r="R38" s="145"/>
    </row>
    <row r="39" ht="13.5" customHeight="1">
      <c r="A39" s="212"/>
      <c r="B39" s="220"/>
      <c r="C39" s="221"/>
      <c r="D39" s="222" t="s">
        <v>183</v>
      </c>
      <c r="E39" s="223"/>
      <c r="F39" s="224"/>
      <c r="G39" s="225"/>
      <c r="H39" s="225"/>
      <c r="I39" s="224"/>
      <c r="J39" s="224"/>
      <c r="K39" s="224"/>
      <c r="L39" s="224" t="s">
        <v>159</v>
      </c>
      <c r="M39" s="145"/>
      <c r="N39" s="145"/>
      <c r="O39" s="145"/>
      <c r="P39" s="145"/>
      <c r="Q39" s="145"/>
      <c r="R39" s="145"/>
    </row>
    <row r="40" ht="13.5" customHeight="1">
      <c r="A40" s="207" t="s">
        <v>184</v>
      </c>
      <c r="B40" s="226" t="s">
        <v>185</v>
      </c>
      <c r="C40" s="227"/>
      <c r="D40" s="228"/>
      <c r="E40" s="229"/>
      <c r="F40" s="230" t="s">
        <v>83</v>
      </c>
      <c r="G40" s="230" t="s">
        <v>65</v>
      </c>
      <c r="H40" s="230" t="s">
        <v>65</v>
      </c>
      <c r="I40" s="230" t="s">
        <v>84</v>
      </c>
      <c r="J40" s="230" t="s">
        <v>84</v>
      </c>
      <c r="K40" s="230" t="s">
        <v>84</v>
      </c>
      <c r="L40" s="231" t="s">
        <v>65</v>
      </c>
      <c r="M40" s="145"/>
      <c r="N40" s="145"/>
      <c r="O40" s="145"/>
      <c r="P40" s="145"/>
      <c r="Q40" s="145"/>
      <c r="R40" s="145"/>
    </row>
    <row r="41" ht="13.5" customHeight="1">
      <c r="A41" s="212"/>
      <c r="B41" s="232" t="s">
        <v>186</v>
      </c>
      <c r="C41" s="18"/>
      <c r="D41" s="19"/>
      <c r="E41" s="233"/>
      <c r="F41" s="234" t="s">
        <v>187</v>
      </c>
      <c r="G41" s="234" t="s">
        <v>187</v>
      </c>
      <c r="H41" s="234" t="s">
        <v>187</v>
      </c>
      <c r="I41" s="234" t="s">
        <v>187</v>
      </c>
      <c r="J41" s="234" t="s">
        <v>187</v>
      </c>
      <c r="K41" s="235" t="s">
        <v>187</v>
      </c>
      <c r="L41" s="235" t="s">
        <v>187</v>
      </c>
      <c r="M41" s="145"/>
      <c r="N41" s="145"/>
      <c r="O41" s="145"/>
      <c r="P41" s="145"/>
      <c r="Q41" s="145"/>
      <c r="R41" s="145"/>
    </row>
    <row r="42" ht="13.5" customHeight="1">
      <c r="A42" s="212"/>
      <c r="B42" s="236" t="s">
        <v>188</v>
      </c>
      <c r="C42" s="18"/>
      <c r="D42" s="19"/>
      <c r="E42" s="237"/>
      <c r="F42" s="238">
        <v>45963.0</v>
      </c>
      <c r="G42" s="238">
        <v>45963.0</v>
      </c>
      <c r="H42" s="238">
        <v>45963.0</v>
      </c>
      <c r="I42" s="238">
        <v>45963.0</v>
      </c>
      <c r="J42" s="238">
        <v>45963.0</v>
      </c>
      <c r="K42" s="238">
        <v>45963.0</v>
      </c>
      <c r="L42" s="238">
        <v>45963.0</v>
      </c>
      <c r="M42" s="145"/>
      <c r="N42" s="145"/>
      <c r="O42" s="145"/>
      <c r="P42" s="145"/>
      <c r="Q42" s="145"/>
      <c r="R42" s="145"/>
    </row>
    <row r="43" ht="79.5" customHeight="1">
      <c r="A43" s="239"/>
      <c r="B43" s="240" t="s">
        <v>189</v>
      </c>
      <c r="C43" s="241"/>
      <c r="D43" s="242"/>
      <c r="E43" s="243"/>
      <c r="F43" s="244"/>
      <c r="G43" s="244"/>
      <c r="H43" s="244"/>
      <c r="I43" s="244"/>
      <c r="J43" s="244"/>
      <c r="K43" s="244"/>
      <c r="L43" s="244"/>
      <c r="M43" s="145"/>
      <c r="N43" s="145"/>
      <c r="O43" s="145"/>
      <c r="P43" s="145"/>
      <c r="Q43" s="145"/>
      <c r="R43" s="145"/>
    </row>
    <row r="44" ht="12.0" customHeight="1">
      <c r="A44" s="245"/>
      <c r="B44" s="182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82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82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82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82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82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82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82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82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82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82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82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82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82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82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82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82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82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82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82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82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82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82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82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82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82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82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82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82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</row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40:D40"/>
    <mergeCell ref="B41:D41"/>
    <mergeCell ref="B42:D42"/>
    <mergeCell ref="B43:D43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L39">
      <formula1>"O"</formula1>
    </dataValidation>
    <dataValidation type="list" allowBlank="1" showInputMessage="1" showErrorMessage="1" prompt=" - " sqref="F40:L40">
      <formula1>"N,A,B"</formula1>
    </dataValidation>
    <dataValidation type="list" allowBlank="1" showInputMessage="1" showErrorMessage="1" prompt=" - " sqref="F41:L41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3" width="5.25"/>
    <col customWidth="1" min="14" max="21" width="2.88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141</v>
      </c>
      <c r="B2" s="148"/>
      <c r="C2" s="149" t="str">
        <f>Functions!E13</f>
        <v>CSU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Functions!D13</f>
        <v>confirmSignUp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142</v>
      </c>
      <c r="B3" s="19"/>
      <c r="C3" s="159" t="s">
        <v>49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49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</row>
    <row r="4" ht="13.5" customHeight="1">
      <c r="A4" s="158" t="s">
        <v>144</v>
      </c>
      <c r="B4" s="19"/>
      <c r="C4" s="167">
        <v>100.0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2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</row>
    <row r="5" ht="13.5" customHeight="1">
      <c r="A5" s="158" t="s">
        <v>146</v>
      </c>
      <c r="B5" s="19"/>
      <c r="C5" s="171" t="s">
        <v>190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</row>
    <row r="7" ht="13.5" customHeight="1">
      <c r="A7" s="175">
        <f>COUNTIF(F41:HQ41,"P")</f>
        <v>8</v>
      </c>
      <c r="B7" s="176"/>
      <c r="C7" s="177">
        <f>COUNTIF(F41:HQ41,"F")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COUNTIF(E40:HQ40,"N")</f>
        <v>1</v>
      </c>
      <c r="M7" s="179">
        <f>COUNTIF(E40:HQ40,"A")</f>
        <v>4</v>
      </c>
      <c r="N7" s="179">
        <f>COUNTIF(E40:HQ40,"B")</f>
        <v>3</v>
      </c>
      <c r="O7" s="177">
        <f>COUNTA(E9:HT9)</f>
        <v>8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187" t="s">
        <v>155</v>
      </c>
      <c r="M9" s="246" t="s">
        <v>191</v>
      </c>
      <c r="N9" s="188"/>
      <c r="O9" s="157"/>
      <c r="P9" s="145"/>
      <c r="Q9" s="145"/>
      <c r="R9" s="145"/>
      <c r="S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45"/>
      <c r="O10" s="145"/>
      <c r="P10" s="145"/>
      <c r="Q10" s="145"/>
      <c r="R10" s="145"/>
      <c r="S10" s="145"/>
    </row>
    <row r="11" ht="13.5" customHeight="1">
      <c r="A11" s="195"/>
      <c r="B11" s="196"/>
      <c r="C11" s="197"/>
      <c r="D11" s="198" t="s">
        <v>158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99" t="s">
        <v>159</v>
      </c>
      <c r="N11" s="145"/>
      <c r="O11" s="157"/>
      <c r="P11" s="145"/>
      <c r="Q11" s="145"/>
      <c r="R11" s="145"/>
      <c r="S11" s="145"/>
    </row>
    <row r="12" ht="13.5" customHeight="1">
      <c r="A12" s="195"/>
      <c r="B12" s="200" t="s">
        <v>160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201"/>
      <c r="N12" s="145"/>
      <c r="O12" s="145"/>
      <c r="P12" s="145"/>
      <c r="Q12" s="145"/>
      <c r="R12" s="145"/>
      <c r="S12" s="145"/>
    </row>
    <row r="13" ht="13.5" customHeight="1">
      <c r="A13" s="195"/>
      <c r="B13" s="196"/>
      <c r="C13" s="197"/>
      <c r="D13" s="202" t="s">
        <v>192</v>
      </c>
      <c r="E13" s="203"/>
      <c r="F13" s="199" t="s">
        <v>159</v>
      </c>
      <c r="G13" s="199" t="s">
        <v>159</v>
      </c>
      <c r="H13" s="199" t="s">
        <v>159</v>
      </c>
      <c r="I13" s="201"/>
      <c r="J13" s="199"/>
      <c r="K13" s="199" t="s">
        <v>159</v>
      </c>
      <c r="L13" s="201"/>
      <c r="M13" s="201"/>
      <c r="N13" s="145"/>
      <c r="O13" s="145"/>
      <c r="P13" s="145"/>
      <c r="Q13" s="145"/>
      <c r="R13" s="145"/>
      <c r="S13" s="145"/>
    </row>
    <row r="14" ht="13.5" customHeight="1">
      <c r="A14" s="195"/>
      <c r="B14" s="196"/>
      <c r="C14" s="197"/>
      <c r="D14" s="202" t="s">
        <v>193</v>
      </c>
      <c r="E14" s="204"/>
      <c r="F14" s="201"/>
      <c r="G14" s="199"/>
      <c r="H14" s="201"/>
      <c r="I14" s="199" t="s">
        <v>159</v>
      </c>
      <c r="J14" s="201"/>
      <c r="K14" s="201"/>
      <c r="L14" s="201"/>
      <c r="M14" s="201"/>
      <c r="N14" s="145"/>
      <c r="O14" s="145"/>
      <c r="P14" s="145"/>
      <c r="Q14" s="145"/>
      <c r="R14" s="145"/>
      <c r="S14" s="145"/>
    </row>
    <row r="15" ht="13.5" customHeight="1">
      <c r="A15" s="195"/>
      <c r="B15" s="196"/>
      <c r="C15" s="197"/>
      <c r="D15" s="202" t="s">
        <v>163</v>
      </c>
      <c r="E15" s="204"/>
      <c r="F15" s="201"/>
      <c r="G15" s="201"/>
      <c r="H15" s="201"/>
      <c r="I15" s="199"/>
      <c r="J15" s="201"/>
      <c r="K15" s="201"/>
      <c r="L15" s="199" t="s">
        <v>159</v>
      </c>
      <c r="M15" s="201"/>
      <c r="N15" s="145"/>
      <c r="O15" s="145"/>
      <c r="P15" s="145"/>
      <c r="Q15" s="145"/>
      <c r="R15" s="145"/>
      <c r="S15" s="145"/>
    </row>
    <row r="16" ht="13.5" customHeight="1">
      <c r="A16" s="195"/>
      <c r="B16" s="196"/>
      <c r="C16" s="197"/>
      <c r="D16" s="202" t="s">
        <v>194</v>
      </c>
      <c r="E16" s="204"/>
      <c r="F16" s="201"/>
      <c r="G16" s="201"/>
      <c r="H16" s="201"/>
      <c r="I16" s="201"/>
      <c r="J16" s="199" t="s">
        <v>159</v>
      </c>
      <c r="K16" s="199"/>
      <c r="L16" s="199"/>
      <c r="M16" s="199"/>
      <c r="N16" s="145"/>
      <c r="O16" s="145"/>
      <c r="P16" s="145"/>
      <c r="Q16" s="145"/>
      <c r="R16" s="145"/>
      <c r="S16" s="145"/>
    </row>
    <row r="17" ht="13.5" customHeight="1">
      <c r="A17" s="195"/>
      <c r="B17" s="196"/>
      <c r="C17" s="197"/>
      <c r="D17" s="202" t="s">
        <v>195</v>
      </c>
      <c r="E17" s="204"/>
      <c r="F17" s="201"/>
      <c r="G17" s="201"/>
      <c r="H17" s="201"/>
      <c r="I17" s="201"/>
      <c r="J17" s="199"/>
      <c r="K17" s="199"/>
      <c r="L17" s="199"/>
      <c r="M17" s="199" t="s">
        <v>159</v>
      </c>
      <c r="N17" s="145"/>
      <c r="O17" s="145"/>
      <c r="P17" s="145"/>
      <c r="Q17" s="145"/>
      <c r="R17" s="145"/>
      <c r="S17" s="145"/>
    </row>
    <row r="18" ht="13.5" customHeight="1">
      <c r="A18" s="195"/>
      <c r="B18" s="200" t="s">
        <v>196</v>
      </c>
      <c r="C18" s="197"/>
      <c r="D18" s="198"/>
      <c r="E18" s="204"/>
      <c r="F18" s="201"/>
      <c r="G18" s="201"/>
      <c r="H18" s="201"/>
      <c r="I18" s="201"/>
      <c r="J18" s="201"/>
      <c r="K18" s="201"/>
      <c r="L18" s="201"/>
      <c r="M18" s="201"/>
      <c r="N18" s="145"/>
      <c r="O18" s="145"/>
      <c r="P18" s="145"/>
      <c r="Q18" s="145"/>
      <c r="R18" s="145"/>
      <c r="S18" s="145"/>
    </row>
    <row r="19" ht="13.5" customHeight="1">
      <c r="A19" s="195"/>
      <c r="B19" s="196"/>
      <c r="C19" s="197"/>
      <c r="D19" s="202" t="s">
        <v>163</v>
      </c>
      <c r="E19" s="204"/>
      <c r="F19" s="201"/>
      <c r="G19" s="201"/>
      <c r="H19" s="201"/>
      <c r="I19" s="201"/>
      <c r="J19" s="199"/>
      <c r="K19" s="199" t="s">
        <v>159</v>
      </c>
      <c r="L19" s="201"/>
      <c r="M19" s="201"/>
      <c r="N19" s="145"/>
      <c r="O19" s="145"/>
      <c r="P19" s="145"/>
      <c r="Q19" s="145"/>
      <c r="R19" s="145"/>
      <c r="S19" s="145"/>
    </row>
    <row r="20" ht="13.5" customHeight="1">
      <c r="A20" s="195"/>
      <c r="B20" s="196"/>
      <c r="C20" s="197"/>
      <c r="D20" s="202">
        <v>567891.0</v>
      </c>
      <c r="E20" s="204"/>
      <c r="F20" s="201"/>
      <c r="G20" s="199" t="s">
        <v>159</v>
      </c>
      <c r="H20" s="199"/>
      <c r="I20" s="201"/>
      <c r="J20" s="201"/>
      <c r="K20" s="201"/>
      <c r="L20" s="201"/>
      <c r="M20" s="201"/>
      <c r="N20" s="145"/>
      <c r="O20" s="145"/>
      <c r="P20" s="145"/>
      <c r="Q20" s="145"/>
      <c r="R20" s="145"/>
      <c r="S20" s="145"/>
    </row>
    <row r="21" ht="13.5" customHeight="1">
      <c r="A21" s="195"/>
      <c r="B21" s="196"/>
      <c r="C21" s="197"/>
      <c r="D21" s="202">
        <v>123456.0</v>
      </c>
      <c r="E21" s="204"/>
      <c r="F21" s="199" t="s">
        <v>159</v>
      </c>
      <c r="G21" s="199"/>
      <c r="H21" s="199" t="s">
        <v>159</v>
      </c>
      <c r="I21" s="199" t="s">
        <v>159</v>
      </c>
      <c r="J21" s="199" t="s">
        <v>159</v>
      </c>
      <c r="K21" s="199"/>
      <c r="L21" s="199" t="s">
        <v>159</v>
      </c>
      <c r="M21" s="199" t="s">
        <v>159</v>
      </c>
      <c r="N21" s="145"/>
      <c r="O21" s="145"/>
      <c r="P21" s="145"/>
      <c r="Q21" s="145"/>
      <c r="R21" s="145"/>
      <c r="S21" s="145"/>
    </row>
    <row r="22" ht="13.5" customHeight="1">
      <c r="A22" s="207" t="s">
        <v>168</v>
      </c>
      <c r="B22" s="208" t="s">
        <v>169</v>
      </c>
      <c r="C22" s="209"/>
      <c r="D22" s="210"/>
      <c r="E22" s="211"/>
      <c r="F22" s="194"/>
      <c r="G22" s="194"/>
      <c r="H22" s="194"/>
      <c r="I22" s="194"/>
      <c r="J22" s="194"/>
      <c r="K22" s="194"/>
      <c r="L22" s="194"/>
      <c r="M22" s="194"/>
      <c r="N22" s="145"/>
      <c r="O22" s="145"/>
      <c r="P22" s="145"/>
      <c r="Q22" s="145"/>
      <c r="R22" s="145"/>
      <c r="S22" s="145"/>
    </row>
    <row r="23" ht="13.5" customHeight="1">
      <c r="A23" s="212"/>
      <c r="B23" s="213"/>
      <c r="C23" s="214"/>
      <c r="D23" s="215" t="s">
        <v>170</v>
      </c>
      <c r="E23" s="216"/>
      <c r="F23" s="201" t="s">
        <v>159</v>
      </c>
      <c r="G23" s="201"/>
      <c r="H23" s="201"/>
      <c r="I23" s="201"/>
      <c r="J23" s="201"/>
      <c r="K23" s="201"/>
      <c r="L23" s="201"/>
      <c r="M23" s="201"/>
      <c r="N23" s="145"/>
      <c r="O23" s="145"/>
      <c r="P23" s="145"/>
      <c r="Q23" s="145"/>
      <c r="R23" s="145"/>
      <c r="S23" s="145"/>
    </row>
    <row r="24" ht="13.5" customHeight="1">
      <c r="A24" s="212"/>
      <c r="B24" s="213"/>
      <c r="C24" s="217"/>
      <c r="D24" s="215" t="s">
        <v>171</v>
      </c>
      <c r="E24" s="218"/>
      <c r="F24" s="201"/>
      <c r="G24" s="199" t="s">
        <v>159</v>
      </c>
      <c r="H24" s="199" t="s">
        <v>159</v>
      </c>
      <c r="I24" s="199" t="s">
        <v>159</v>
      </c>
      <c r="J24" s="199" t="s">
        <v>159</v>
      </c>
      <c r="K24" s="199" t="s">
        <v>159</v>
      </c>
      <c r="L24" s="199" t="s">
        <v>159</v>
      </c>
      <c r="M24" s="199" t="s">
        <v>159</v>
      </c>
      <c r="N24" s="145"/>
      <c r="O24" s="145"/>
      <c r="P24" s="145"/>
      <c r="Q24" s="145"/>
      <c r="R24" s="145"/>
      <c r="S24" s="145"/>
    </row>
    <row r="25" ht="13.5" customHeight="1">
      <c r="A25" s="212"/>
      <c r="B25" s="213" t="s">
        <v>172</v>
      </c>
      <c r="C25" s="217"/>
      <c r="D25" s="215"/>
      <c r="E25" s="218"/>
      <c r="F25" s="201"/>
      <c r="G25" s="199"/>
      <c r="H25" s="201"/>
      <c r="I25" s="201"/>
      <c r="J25" s="201"/>
      <c r="K25" s="201"/>
      <c r="L25" s="201"/>
      <c r="M25" s="201"/>
      <c r="N25" s="145"/>
      <c r="O25" s="145"/>
      <c r="P25" s="145"/>
      <c r="Q25" s="145"/>
      <c r="R25" s="145"/>
      <c r="S25" s="145"/>
    </row>
    <row r="26" ht="13.5" customHeight="1">
      <c r="A26" s="212"/>
      <c r="B26" s="213"/>
      <c r="C26" s="217"/>
      <c r="D26" s="219" t="s">
        <v>197</v>
      </c>
      <c r="E26" s="218"/>
      <c r="F26" s="201"/>
      <c r="G26" s="199" t="s">
        <v>159</v>
      </c>
      <c r="H26" s="201"/>
      <c r="I26" s="201"/>
      <c r="J26" s="201"/>
      <c r="K26" s="201"/>
      <c r="L26" s="201"/>
      <c r="M26" s="201"/>
      <c r="N26" s="145"/>
      <c r="O26" s="145"/>
      <c r="P26" s="145"/>
      <c r="Q26" s="145"/>
      <c r="R26" s="145"/>
      <c r="S26" s="145"/>
    </row>
    <row r="27" ht="13.5" customHeight="1">
      <c r="A27" s="212"/>
      <c r="B27" s="213"/>
      <c r="C27" s="217"/>
      <c r="D27" s="219" t="s">
        <v>198</v>
      </c>
      <c r="E27" s="218"/>
      <c r="F27" s="201"/>
      <c r="G27" s="199"/>
      <c r="H27" s="199" t="s">
        <v>159</v>
      </c>
      <c r="I27" s="199"/>
      <c r="J27" s="201"/>
      <c r="K27" s="201"/>
      <c r="L27" s="201"/>
      <c r="M27" s="201"/>
      <c r="N27" s="145"/>
      <c r="O27" s="145"/>
      <c r="P27" s="145"/>
      <c r="Q27" s="145"/>
      <c r="R27" s="145"/>
      <c r="S27" s="145"/>
    </row>
    <row r="28" ht="13.5" customHeight="1">
      <c r="A28" s="212"/>
      <c r="B28" s="213"/>
      <c r="C28" s="217"/>
      <c r="D28" s="219" t="s">
        <v>199</v>
      </c>
      <c r="E28" s="218"/>
      <c r="F28" s="201"/>
      <c r="G28" s="199"/>
      <c r="H28" s="201"/>
      <c r="I28" s="199" t="s">
        <v>159</v>
      </c>
      <c r="J28" s="201"/>
      <c r="K28" s="201"/>
      <c r="L28" s="201"/>
      <c r="M28" s="201"/>
      <c r="N28" s="145"/>
      <c r="O28" s="145"/>
      <c r="P28" s="145"/>
      <c r="Q28" s="145"/>
      <c r="R28" s="145"/>
      <c r="S28" s="145"/>
    </row>
    <row r="29" ht="13.5" customHeight="1">
      <c r="A29" s="212"/>
      <c r="B29" s="213"/>
      <c r="C29" s="217"/>
      <c r="D29" s="219" t="s">
        <v>200</v>
      </c>
      <c r="E29" s="218"/>
      <c r="F29" s="201"/>
      <c r="G29" s="199"/>
      <c r="H29" s="201"/>
      <c r="I29" s="199"/>
      <c r="J29" s="199" t="s">
        <v>159</v>
      </c>
      <c r="K29" s="201"/>
      <c r="L29" s="201"/>
      <c r="M29" s="201"/>
      <c r="N29" s="145"/>
      <c r="O29" s="145"/>
      <c r="P29" s="145"/>
      <c r="Q29" s="145"/>
      <c r="R29" s="145"/>
      <c r="S29" s="145"/>
    </row>
    <row r="30" ht="13.5" customHeight="1">
      <c r="A30" s="212"/>
      <c r="B30" s="213"/>
      <c r="C30" s="217"/>
      <c r="D30" s="219" t="s">
        <v>175</v>
      </c>
      <c r="E30" s="218"/>
      <c r="F30" s="201"/>
      <c r="G30" s="199"/>
      <c r="H30" s="201"/>
      <c r="I30" s="199"/>
      <c r="J30" s="199"/>
      <c r="K30" s="199" t="s">
        <v>159</v>
      </c>
      <c r="L30" s="199" t="s">
        <v>159</v>
      </c>
      <c r="M30" s="199" t="s">
        <v>159</v>
      </c>
      <c r="N30" s="145"/>
      <c r="O30" s="145"/>
      <c r="P30" s="145"/>
      <c r="Q30" s="145"/>
      <c r="R30" s="145"/>
      <c r="S30" s="145"/>
    </row>
    <row r="31" ht="13.5" customHeight="1">
      <c r="A31" s="212"/>
      <c r="B31" s="213" t="s">
        <v>176</v>
      </c>
      <c r="C31" s="217"/>
      <c r="D31" s="215"/>
      <c r="E31" s="218"/>
      <c r="F31" s="201"/>
      <c r="G31" s="201"/>
      <c r="H31" s="201"/>
      <c r="I31" s="201"/>
      <c r="J31" s="201"/>
      <c r="K31" s="201"/>
      <c r="L31" s="201"/>
      <c r="M31" s="201"/>
      <c r="N31" s="145"/>
      <c r="O31" s="145"/>
      <c r="P31" s="145"/>
      <c r="Q31" s="145"/>
      <c r="R31" s="145"/>
      <c r="S31" s="145"/>
    </row>
    <row r="32" ht="13.5" customHeight="1">
      <c r="A32" s="212"/>
      <c r="B32" s="213"/>
      <c r="C32" s="217"/>
      <c r="D32" s="219" t="s">
        <v>201</v>
      </c>
      <c r="E32" s="218"/>
      <c r="F32" s="199" t="s">
        <v>159</v>
      </c>
      <c r="G32" s="201"/>
      <c r="H32" s="201"/>
      <c r="I32" s="201"/>
      <c r="J32" s="201"/>
      <c r="K32" s="201"/>
      <c r="L32" s="201"/>
      <c r="M32" s="201"/>
      <c r="N32" s="145"/>
      <c r="O32" s="145"/>
      <c r="P32" s="145"/>
      <c r="Q32" s="145"/>
      <c r="R32" s="145"/>
      <c r="S32" s="145"/>
    </row>
    <row r="33" ht="13.5" customHeight="1">
      <c r="A33" s="247"/>
      <c r="B33" s="248" t="s">
        <v>202</v>
      </c>
      <c r="C33" s="18"/>
      <c r="D33" s="18"/>
      <c r="E33" s="249"/>
      <c r="F33" s="224"/>
      <c r="G33" s="224" t="s">
        <v>159</v>
      </c>
      <c r="H33" s="225"/>
      <c r="I33" s="225"/>
      <c r="J33" s="225"/>
      <c r="K33" s="225"/>
      <c r="L33" s="225"/>
      <c r="M33" s="225"/>
      <c r="N33" s="145"/>
      <c r="O33" s="145"/>
      <c r="P33" s="145"/>
      <c r="Q33" s="145"/>
      <c r="R33" s="145"/>
      <c r="S33" s="145"/>
    </row>
    <row r="34" ht="13.5" customHeight="1">
      <c r="A34" s="250"/>
      <c r="B34" s="248" t="s">
        <v>203</v>
      </c>
      <c r="C34" s="18"/>
      <c r="D34" s="18"/>
      <c r="E34" s="251"/>
      <c r="F34" s="252"/>
      <c r="G34" s="252"/>
      <c r="H34" s="252" t="s">
        <v>159</v>
      </c>
      <c r="I34" s="253"/>
      <c r="J34" s="253"/>
      <c r="K34" s="253"/>
      <c r="L34" s="253"/>
      <c r="M34" s="253"/>
      <c r="N34" s="145"/>
      <c r="O34" s="145"/>
      <c r="P34" s="145"/>
      <c r="Q34" s="145"/>
      <c r="R34" s="145"/>
      <c r="S34" s="145"/>
    </row>
    <row r="35" ht="13.5" customHeight="1">
      <c r="A35" s="250"/>
      <c r="B35" s="248" t="s">
        <v>204</v>
      </c>
      <c r="C35" s="18"/>
      <c r="D35" s="18"/>
      <c r="E35" s="251"/>
      <c r="F35" s="252"/>
      <c r="G35" s="252"/>
      <c r="H35" s="252"/>
      <c r="I35" s="252" t="s">
        <v>159</v>
      </c>
      <c r="J35" s="253"/>
      <c r="K35" s="253"/>
      <c r="L35" s="253"/>
      <c r="M35" s="253"/>
      <c r="N35" s="145"/>
      <c r="O35" s="145"/>
      <c r="P35" s="145"/>
      <c r="Q35" s="145"/>
      <c r="R35" s="145"/>
      <c r="S35" s="145"/>
    </row>
    <row r="36" ht="13.5" customHeight="1">
      <c r="A36" s="250"/>
      <c r="B36" s="248" t="s">
        <v>205</v>
      </c>
      <c r="C36" s="18"/>
      <c r="D36" s="18"/>
      <c r="E36" s="251"/>
      <c r="F36" s="252"/>
      <c r="G36" s="252"/>
      <c r="H36" s="252"/>
      <c r="I36" s="252"/>
      <c r="J36" s="252" t="s">
        <v>159</v>
      </c>
      <c r="K36" s="253"/>
      <c r="L36" s="253"/>
      <c r="M36" s="253"/>
      <c r="N36" s="145"/>
      <c r="O36" s="145"/>
      <c r="P36" s="145"/>
      <c r="Q36" s="145"/>
      <c r="R36" s="145"/>
      <c r="S36" s="145"/>
    </row>
    <row r="37" ht="13.5" customHeight="1">
      <c r="A37" s="250"/>
      <c r="B37" s="248" t="s">
        <v>206</v>
      </c>
      <c r="C37" s="18"/>
      <c r="D37" s="18"/>
      <c r="E37" s="251"/>
      <c r="F37" s="252"/>
      <c r="G37" s="252"/>
      <c r="H37" s="252"/>
      <c r="I37" s="252"/>
      <c r="J37" s="252"/>
      <c r="K37" s="252" t="s">
        <v>159</v>
      </c>
      <c r="L37" s="253"/>
      <c r="M37" s="253"/>
      <c r="N37" s="145"/>
      <c r="O37" s="145"/>
      <c r="P37" s="145"/>
      <c r="Q37" s="145"/>
      <c r="R37" s="145"/>
      <c r="S37" s="145"/>
    </row>
    <row r="38" ht="13.5" customHeight="1">
      <c r="A38" s="250"/>
      <c r="B38" s="248" t="s">
        <v>180</v>
      </c>
      <c r="C38" s="18"/>
      <c r="D38" s="18"/>
      <c r="E38" s="251"/>
      <c r="F38" s="252"/>
      <c r="G38" s="252"/>
      <c r="H38" s="252"/>
      <c r="I38" s="252"/>
      <c r="J38" s="252"/>
      <c r="K38" s="253"/>
      <c r="L38" s="252" t="s">
        <v>159</v>
      </c>
      <c r="M38" s="253"/>
      <c r="N38" s="145"/>
      <c r="O38" s="145"/>
      <c r="P38" s="145"/>
      <c r="Q38" s="145"/>
      <c r="R38" s="145"/>
      <c r="S38" s="145"/>
    </row>
    <row r="39" ht="18.0" customHeight="1">
      <c r="A39" s="250"/>
      <c r="B39" s="254" t="s">
        <v>183</v>
      </c>
      <c r="C39" s="241"/>
      <c r="D39" s="241"/>
      <c r="E39" s="251"/>
      <c r="F39" s="252"/>
      <c r="G39" s="252"/>
      <c r="H39" s="252"/>
      <c r="I39" s="252"/>
      <c r="J39" s="252"/>
      <c r="K39" s="253"/>
      <c r="L39" s="252"/>
      <c r="M39" s="252" t="s">
        <v>159</v>
      </c>
      <c r="N39" s="145"/>
      <c r="O39" s="145"/>
      <c r="P39" s="145"/>
      <c r="Q39" s="145"/>
      <c r="R39" s="145"/>
      <c r="S39" s="145"/>
    </row>
    <row r="40" ht="13.5" customHeight="1">
      <c r="A40" s="207" t="s">
        <v>184</v>
      </c>
      <c r="B40" s="255" t="s">
        <v>185</v>
      </c>
      <c r="C40" s="256"/>
      <c r="D40" s="257"/>
      <c r="E40" s="229"/>
      <c r="F40" s="230" t="s">
        <v>83</v>
      </c>
      <c r="G40" s="230" t="s">
        <v>65</v>
      </c>
      <c r="H40" s="230" t="s">
        <v>65</v>
      </c>
      <c r="I40" s="230" t="s">
        <v>65</v>
      </c>
      <c r="J40" s="230" t="s">
        <v>84</v>
      </c>
      <c r="K40" s="230" t="s">
        <v>84</v>
      </c>
      <c r="L40" s="230" t="s">
        <v>84</v>
      </c>
      <c r="M40" s="231" t="s">
        <v>65</v>
      </c>
      <c r="N40" s="145"/>
      <c r="O40" s="145"/>
      <c r="P40" s="145"/>
      <c r="Q40" s="145"/>
      <c r="R40" s="145"/>
      <c r="S40" s="145"/>
    </row>
    <row r="41" ht="13.5" customHeight="1">
      <c r="A41" s="212"/>
      <c r="B41" s="232" t="s">
        <v>186</v>
      </c>
      <c r="C41" s="18"/>
      <c r="D41" s="19"/>
      <c r="E41" s="233"/>
      <c r="F41" s="234" t="s">
        <v>187</v>
      </c>
      <c r="G41" s="234" t="s">
        <v>187</v>
      </c>
      <c r="H41" s="234" t="s">
        <v>187</v>
      </c>
      <c r="I41" s="234" t="s">
        <v>187</v>
      </c>
      <c r="J41" s="234" t="s">
        <v>187</v>
      </c>
      <c r="K41" s="235" t="s">
        <v>187</v>
      </c>
      <c r="L41" s="235" t="s">
        <v>187</v>
      </c>
      <c r="M41" s="235" t="s">
        <v>187</v>
      </c>
      <c r="N41" s="145"/>
      <c r="O41" s="145"/>
      <c r="P41" s="145"/>
      <c r="Q41" s="145"/>
      <c r="R41" s="145"/>
      <c r="S41" s="145"/>
    </row>
    <row r="42" ht="13.5" customHeight="1">
      <c r="A42" s="212"/>
      <c r="B42" s="236" t="s">
        <v>188</v>
      </c>
      <c r="C42" s="18"/>
      <c r="D42" s="19"/>
      <c r="E42" s="237"/>
      <c r="F42" s="238">
        <v>45963.0</v>
      </c>
      <c r="G42" s="238">
        <v>45963.0</v>
      </c>
      <c r="H42" s="238">
        <v>45963.0</v>
      </c>
      <c r="I42" s="238">
        <v>45963.0</v>
      </c>
      <c r="J42" s="238">
        <v>45963.0</v>
      </c>
      <c r="K42" s="238">
        <v>45963.0</v>
      </c>
      <c r="L42" s="238">
        <v>45963.0</v>
      </c>
      <c r="M42" s="238">
        <v>45963.0</v>
      </c>
      <c r="N42" s="145"/>
      <c r="O42" s="145"/>
      <c r="P42" s="145"/>
      <c r="Q42" s="145"/>
      <c r="R42" s="145"/>
      <c r="S42" s="145"/>
    </row>
    <row r="43" ht="79.5" customHeight="1">
      <c r="A43" s="239"/>
      <c r="B43" s="240" t="s">
        <v>189</v>
      </c>
      <c r="C43" s="241"/>
      <c r="D43" s="242"/>
      <c r="E43" s="243"/>
      <c r="F43" s="244"/>
      <c r="G43" s="244"/>
      <c r="H43" s="244"/>
      <c r="I43" s="244"/>
      <c r="J43" s="244"/>
      <c r="K43" s="244"/>
      <c r="L43" s="244"/>
      <c r="M43" s="244"/>
      <c r="N43" s="145"/>
      <c r="O43" s="145"/>
      <c r="P43" s="145"/>
      <c r="Q43" s="145"/>
      <c r="R43" s="145"/>
      <c r="S43" s="145"/>
    </row>
    <row r="44" ht="12.0" customHeight="1">
      <c r="A44" s="245"/>
      <c r="B44" s="182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82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82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82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82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82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82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82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82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82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82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82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82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82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82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82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82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82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82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82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82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82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82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82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82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82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82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82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82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</row>
  </sheetData>
  <mergeCells count="34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0:D40"/>
    <mergeCell ref="B41:D41"/>
    <mergeCell ref="B42:D42"/>
    <mergeCell ref="B43:D43"/>
    <mergeCell ref="B33:D33"/>
    <mergeCell ref="B34:D34"/>
    <mergeCell ref="B35:D35"/>
    <mergeCell ref="B36:D36"/>
    <mergeCell ref="B37:D37"/>
    <mergeCell ref="B38:D38"/>
    <mergeCell ref="B39:D39"/>
  </mergeCells>
  <dataValidations>
    <dataValidation type="list" allowBlank="1" showInputMessage="1" showErrorMessage="1" prompt=" - " sqref="F10:M39">
      <formula1>"O"</formula1>
    </dataValidation>
    <dataValidation type="list" allowBlank="1" showInputMessage="1" showErrorMessage="1" prompt=" - " sqref="F40:M40">
      <formula1>"N,A,B"</formula1>
    </dataValidation>
    <dataValidation type="list" allowBlank="1" showInputMessage="1" showErrorMessage="1" prompt=" - " sqref="F41:M41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3" width="5.25"/>
    <col customWidth="1" min="14" max="21" width="2.88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141</v>
      </c>
      <c r="B2" s="148"/>
      <c r="C2" s="149" t="str">
        <f>Functions!E12</f>
        <v>SI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Functions!D12</f>
        <v>signIn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142</v>
      </c>
      <c r="B3" s="19"/>
      <c r="C3" s="159" t="s">
        <v>49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49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</row>
    <row r="4" ht="13.5" customHeight="1">
      <c r="A4" s="158" t="s">
        <v>144</v>
      </c>
      <c r="B4" s="19"/>
      <c r="C4" s="167">
        <v>100.0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2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</row>
    <row r="5" ht="13.5" customHeight="1">
      <c r="A5" s="158" t="s">
        <v>146</v>
      </c>
      <c r="B5" s="19"/>
      <c r="C5" s="171" t="s">
        <v>207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</row>
    <row r="7" ht="13.5" customHeight="1">
      <c r="A7" s="175">
        <f>COUNTIF(F43:HQ43,"P")</f>
        <v>8</v>
      </c>
      <c r="B7" s="176"/>
      <c r="C7" s="177">
        <f>COUNTIF(F43:HQ43,"F")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COUNTIF(E42:HQ42,"N")</f>
        <v>1</v>
      </c>
      <c r="M7" s="179">
        <f>COUNTIF(E42:HQ42,"A")</f>
        <v>5</v>
      </c>
      <c r="N7" s="179">
        <f>COUNTIF(E42:HQ42,"B")</f>
        <v>2</v>
      </c>
      <c r="O7" s="177">
        <f>COUNTA(E9:HT9)</f>
        <v>8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187" t="s">
        <v>155</v>
      </c>
      <c r="M9" s="246" t="s">
        <v>191</v>
      </c>
      <c r="N9" s="188"/>
      <c r="O9" s="157"/>
      <c r="P9" s="145"/>
      <c r="Q9" s="145"/>
      <c r="R9" s="145"/>
      <c r="S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45"/>
      <c r="O10" s="145"/>
      <c r="P10" s="145"/>
      <c r="Q10" s="145"/>
      <c r="R10" s="145"/>
      <c r="S10" s="145"/>
    </row>
    <row r="11" ht="13.5" customHeight="1">
      <c r="A11" s="195"/>
      <c r="B11" s="196"/>
      <c r="C11" s="197"/>
      <c r="D11" s="198" t="s">
        <v>158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99" t="s">
        <v>159</v>
      </c>
      <c r="N11" s="145"/>
      <c r="O11" s="157"/>
      <c r="P11" s="145"/>
      <c r="Q11" s="145"/>
      <c r="R11" s="145"/>
      <c r="S11" s="145"/>
    </row>
    <row r="12" ht="13.5" customHeight="1">
      <c r="A12" s="195"/>
      <c r="B12" s="200" t="s">
        <v>160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201"/>
      <c r="N12" s="145"/>
      <c r="O12" s="145"/>
      <c r="P12" s="145"/>
      <c r="Q12" s="145"/>
      <c r="R12" s="145"/>
      <c r="S12" s="145"/>
    </row>
    <row r="13" ht="13.5" customHeight="1">
      <c r="A13" s="195"/>
      <c r="B13" s="196"/>
      <c r="C13" s="197"/>
      <c r="D13" s="202" t="s">
        <v>192</v>
      </c>
      <c r="E13" s="203"/>
      <c r="F13" s="199" t="s">
        <v>159</v>
      </c>
      <c r="G13" s="201"/>
      <c r="H13" s="199" t="s">
        <v>159</v>
      </c>
      <c r="I13" s="201"/>
      <c r="J13" s="199" t="s">
        <v>159</v>
      </c>
      <c r="K13" s="199"/>
      <c r="L13" s="201"/>
      <c r="M13" s="201"/>
      <c r="N13" s="145"/>
      <c r="O13" s="145"/>
      <c r="P13" s="145"/>
      <c r="Q13" s="145"/>
      <c r="R13" s="145"/>
      <c r="S13" s="145"/>
    </row>
    <row r="14" ht="13.5" customHeight="1">
      <c r="A14" s="195"/>
      <c r="B14" s="196"/>
      <c r="C14" s="197"/>
      <c r="D14" s="202" t="s">
        <v>193</v>
      </c>
      <c r="E14" s="204"/>
      <c r="F14" s="201"/>
      <c r="G14" s="199" t="s">
        <v>159</v>
      </c>
      <c r="H14" s="201"/>
      <c r="I14" s="201"/>
      <c r="J14" s="201"/>
      <c r="K14" s="201"/>
      <c r="L14" s="201"/>
      <c r="M14" s="201"/>
      <c r="N14" s="145"/>
      <c r="O14" s="145"/>
      <c r="P14" s="145"/>
      <c r="Q14" s="145"/>
      <c r="R14" s="145"/>
      <c r="S14" s="145"/>
    </row>
    <row r="15" ht="13.5" customHeight="1">
      <c r="A15" s="195"/>
      <c r="B15" s="196"/>
      <c r="C15" s="197"/>
      <c r="D15" s="202" t="s">
        <v>163</v>
      </c>
      <c r="E15" s="204"/>
      <c r="F15" s="201"/>
      <c r="G15" s="201"/>
      <c r="H15" s="201"/>
      <c r="I15" s="199" t="s">
        <v>159</v>
      </c>
      <c r="J15" s="201"/>
      <c r="K15" s="201"/>
      <c r="L15" s="201"/>
      <c r="M15" s="201"/>
      <c r="N15" s="145"/>
      <c r="O15" s="145"/>
      <c r="P15" s="145"/>
      <c r="Q15" s="145"/>
      <c r="R15" s="145"/>
      <c r="S15" s="145"/>
    </row>
    <row r="16" ht="13.5" customHeight="1">
      <c r="A16" s="195"/>
      <c r="B16" s="196"/>
      <c r="C16" s="197"/>
      <c r="D16" s="202" t="s">
        <v>164</v>
      </c>
      <c r="E16" s="204"/>
      <c r="F16" s="201"/>
      <c r="G16" s="201"/>
      <c r="H16" s="201"/>
      <c r="I16" s="201"/>
      <c r="J16" s="201"/>
      <c r="K16" s="199" t="s">
        <v>159</v>
      </c>
      <c r="L16" s="199"/>
      <c r="M16" s="199"/>
      <c r="N16" s="145"/>
      <c r="O16" s="145"/>
      <c r="P16" s="145"/>
      <c r="Q16" s="145"/>
      <c r="R16" s="145"/>
      <c r="S16" s="145"/>
    </row>
    <row r="17" ht="13.5" customHeight="1">
      <c r="A17" s="195"/>
      <c r="B17" s="196"/>
      <c r="C17" s="197"/>
      <c r="D17" s="202" t="s">
        <v>208</v>
      </c>
      <c r="E17" s="204"/>
      <c r="F17" s="201"/>
      <c r="G17" s="201"/>
      <c r="H17" s="201"/>
      <c r="I17" s="201"/>
      <c r="J17" s="201"/>
      <c r="K17" s="199"/>
      <c r="L17" s="199"/>
      <c r="M17" s="199" t="s">
        <v>159</v>
      </c>
      <c r="N17" s="145"/>
      <c r="O17" s="145"/>
      <c r="P17" s="145"/>
      <c r="Q17" s="145"/>
      <c r="R17" s="145"/>
      <c r="S17" s="145"/>
    </row>
    <row r="18" ht="13.5" customHeight="1">
      <c r="A18" s="195"/>
      <c r="B18" s="196"/>
      <c r="C18" s="197"/>
      <c r="D18" s="202" t="s">
        <v>209</v>
      </c>
      <c r="E18" s="204"/>
      <c r="F18" s="201"/>
      <c r="G18" s="201"/>
      <c r="H18" s="201"/>
      <c r="I18" s="201"/>
      <c r="J18" s="201"/>
      <c r="K18" s="199"/>
      <c r="L18" s="199" t="s">
        <v>159</v>
      </c>
      <c r="M18" s="199"/>
      <c r="N18" s="145"/>
      <c r="O18" s="145"/>
      <c r="P18" s="145"/>
      <c r="Q18" s="145"/>
      <c r="R18" s="145"/>
      <c r="S18" s="145"/>
    </row>
    <row r="19" ht="13.5" customHeight="1">
      <c r="A19" s="195"/>
      <c r="B19" s="200" t="s">
        <v>167</v>
      </c>
      <c r="C19" s="197"/>
      <c r="D19" s="198"/>
      <c r="E19" s="204"/>
      <c r="F19" s="201"/>
      <c r="G19" s="201"/>
      <c r="H19" s="201"/>
      <c r="I19" s="201"/>
      <c r="J19" s="201"/>
      <c r="K19" s="201"/>
      <c r="L19" s="201"/>
      <c r="M19" s="201"/>
      <c r="N19" s="145"/>
      <c r="O19" s="145"/>
      <c r="P19" s="145"/>
      <c r="Q19" s="145"/>
      <c r="R19" s="145"/>
      <c r="S19" s="145"/>
    </row>
    <row r="20" ht="13.5" customHeight="1">
      <c r="A20" s="195"/>
      <c r="B20" s="196"/>
      <c r="C20" s="197"/>
      <c r="D20" s="202" t="s">
        <v>163</v>
      </c>
      <c r="E20" s="204"/>
      <c r="F20" s="201"/>
      <c r="G20" s="201"/>
      <c r="H20" s="201"/>
      <c r="I20" s="201"/>
      <c r="J20" s="199" t="s">
        <v>159</v>
      </c>
      <c r="K20" s="201"/>
      <c r="L20" s="201"/>
      <c r="M20" s="201"/>
      <c r="N20" s="145"/>
      <c r="O20" s="145"/>
      <c r="P20" s="145"/>
      <c r="Q20" s="145"/>
      <c r="R20" s="145"/>
      <c r="S20" s="145"/>
    </row>
    <row r="21" ht="13.5" customHeight="1">
      <c r="A21" s="195"/>
      <c r="B21" s="196"/>
      <c r="C21" s="197"/>
      <c r="D21" s="202">
        <v>123.0</v>
      </c>
      <c r="E21" s="204"/>
      <c r="F21" s="201"/>
      <c r="G21" s="201"/>
      <c r="H21" s="199" t="s">
        <v>159</v>
      </c>
      <c r="I21" s="201"/>
      <c r="J21" s="201"/>
      <c r="K21" s="201"/>
      <c r="L21" s="201"/>
      <c r="M21" s="201"/>
      <c r="N21" s="145"/>
      <c r="O21" s="145"/>
      <c r="P21" s="145"/>
      <c r="Q21" s="145"/>
      <c r="R21" s="145"/>
      <c r="S21" s="145"/>
    </row>
    <row r="22" ht="13.5" customHeight="1">
      <c r="A22" s="195"/>
      <c r="B22" s="196"/>
      <c r="C22" s="197"/>
      <c r="D22" s="202">
        <v>123456.0</v>
      </c>
      <c r="E22" s="204"/>
      <c r="F22" s="199" t="s">
        <v>159</v>
      </c>
      <c r="G22" s="199" t="s">
        <v>159</v>
      </c>
      <c r="H22" s="201"/>
      <c r="I22" s="199" t="s">
        <v>159</v>
      </c>
      <c r="J22" s="201"/>
      <c r="K22" s="199" t="s">
        <v>159</v>
      </c>
      <c r="L22" s="199" t="s">
        <v>159</v>
      </c>
      <c r="M22" s="199" t="s">
        <v>159</v>
      </c>
      <c r="N22" s="145"/>
      <c r="O22" s="145"/>
      <c r="P22" s="145"/>
      <c r="Q22" s="145"/>
      <c r="R22" s="145"/>
      <c r="S22" s="145"/>
    </row>
    <row r="23" ht="13.5" customHeight="1">
      <c r="A23" s="207" t="s">
        <v>168</v>
      </c>
      <c r="B23" s="208" t="s">
        <v>169</v>
      </c>
      <c r="C23" s="209"/>
      <c r="D23" s="210"/>
      <c r="E23" s="211"/>
      <c r="F23" s="194"/>
      <c r="G23" s="194"/>
      <c r="H23" s="194"/>
      <c r="I23" s="194"/>
      <c r="J23" s="194"/>
      <c r="K23" s="194"/>
      <c r="L23" s="194"/>
      <c r="M23" s="194"/>
      <c r="N23" s="145"/>
      <c r="O23" s="145"/>
      <c r="P23" s="145"/>
      <c r="Q23" s="145"/>
      <c r="R23" s="145"/>
      <c r="S23" s="145"/>
    </row>
    <row r="24" ht="13.5" customHeight="1">
      <c r="A24" s="212"/>
      <c r="B24" s="213"/>
      <c r="C24" s="214"/>
      <c r="D24" s="215" t="s">
        <v>170</v>
      </c>
      <c r="E24" s="216"/>
      <c r="F24" s="201" t="s">
        <v>159</v>
      </c>
      <c r="G24" s="201"/>
      <c r="H24" s="201"/>
      <c r="I24" s="201"/>
      <c r="J24" s="201"/>
      <c r="K24" s="201"/>
      <c r="L24" s="201"/>
      <c r="M24" s="201"/>
      <c r="N24" s="145"/>
      <c r="O24" s="145"/>
      <c r="P24" s="145"/>
      <c r="Q24" s="145"/>
      <c r="R24" s="145"/>
      <c r="S24" s="145"/>
    </row>
    <row r="25" ht="13.5" customHeight="1">
      <c r="A25" s="212"/>
      <c r="B25" s="213"/>
      <c r="C25" s="217"/>
      <c r="D25" s="215" t="s">
        <v>171</v>
      </c>
      <c r="E25" s="218"/>
      <c r="F25" s="201"/>
      <c r="G25" s="199" t="s">
        <v>159</v>
      </c>
      <c r="H25" s="199" t="s">
        <v>159</v>
      </c>
      <c r="I25" s="199" t="s">
        <v>159</v>
      </c>
      <c r="J25" s="199" t="s">
        <v>159</v>
      </c>
      <c r="K25" s="199" t="s">
        <v>159</v>
      </c>
      <c r="L25" s="199" t="s">
        <v>159</v>
      </c>
      <c r="M25" s="199" t="s">
        <v>159</v>
      </c>
      <c r="N25" s="145"/>
      <c r="O25" s="145"/>
      <c r="P25" s="145"/>
      <c r="Q25" s="145"/>
      <c r="R25" s="145"/>
      <c r="S25" s="145"/>
    </row>
    <row r="26" ht="13.5" customHeight="1">
      <c r="A26" s="212"/>
      <c r="B26" s="213" t="s">
        <v>172</v>
      </c>
      <c r="C26" s="217"/>
      <c r="D26" s="215"/>
      <c r="E26" s="218"/>
      <c r="F26" s="201"/>
      <c r="G26" s="199"/>
      <c r="H26" s="201"/>
      <c r="I26" s="201"/>
      <c r="J26" s="201"/>
      <c r="K26" s="201"/>
      <c r="L26" s="201"/>
      <c r="M26" s="201"/>
      <c r="N26" s="145"/>
      <c r="O26" s="145"/>
      <c r="P26" s="145"/>
      <c r="Q26" s="145"/>
      <c r="R26" s="145"/>
      <c r="S26" s="145"/>
    </row>
    <row r="27" ht="13.5" customHeight="1">
      <c r="A27" s="212"/>
      <c r="B27" s="213"/>
      <c r="C27" s="217"/>
      <c r="D27" s="219" t="s">
        <v>199</v>
      </c>
      <c r="E27" s="218"/>
      <c r="F27" s="201"/>
      <c r="G27" s="199" t="s">
        <v>159</v>
      </c>
      <c r="H27" s="201"/>
      <c r="I27" s="201"/>
      <c r="J27" s="201"/>
      <c r="K27" s="201"/>
      <c r="L27" s="201"/>
      <c r="M27" s="201"/>
      <c r="N27" s="145"/>
      <c r="O27" s="145"/>
      <c r="P27" s="145"/>
      <c r="Q27" s="145"/>
      <c r="R27" s="145"/>
      <c r="S27" s="145"/>
    </row>
    <row r="28" ht="13.5" customHeight="1">
      <c r="A28" s="212"/>
      <c r="B28" s="213"/>
      <c r="C28" s="217"/>
      <c r="D28" s="219" t="s">
        <v>210</v>
      </c>
      <c r="E28" s="218"/>
      <c r="F28" s="201"/>
      <c r="G28" s="199"/>
      <c r="H28" s="199" t="s">
        <v>159</v>
      </c>
      <c r="I28" s="201"/>
      <c r="J28" s="201"/>
      <c r="K28" s="201"/>
      <c r="L28" s="201"/>
      <c r="M28" s="201"/>
      <c r="N28" s="145"/>
      <c r="O28" s="145"/>
      <c r="P28" s="145"/>
      <c r="Q28" s="145"/>
      <c r="R28" s="145"/>
      <c r="S28" s="145"/>
    </row>
    <row r="29" ht="13.5" customHeight="1">
      <c r="A29" s="212"/>
      <c r="B29" s="213"/>
      <c r="C29" s="217"/>
      <c r="D29" s="219" t="s">
        <v>175</v>
      </c>
      <c r="E29" s="218"/>
      <c r="F29" s="201"/>
      <c r="G29" s="199"/>
      <c r="H29" s="201"/>
      <c r="I29" s="199" t="s">
        <v>159</v>
      </c>
      <c r="J29" s="199" t="s">
        <v>159</v>
      </c>
      <c r="K29" s="199" t="s">
        <v>159</v>
      </c>
      <c r="L29" s="199"/>
      <c r="M29" s="199"/>
      <c r="N29" s="145"/>
      <c r="O29" s="145"/>
      <c r="P29" s="145"/>
      <c r="Q29" s="145"/>
      <c r="R29" s="145"/>
      <c r="S29" s="145"/>
    </row>
    <row r="30" ht="13.5" customHeight="1">
      <c r="A30" s="212"/>
      <c r="B30" s="213"/>
      <c r="C30" s="217"/>
      <c r="D30" s="219" t="s">
        <v>211</v>
      </c>
      <c r="E30" s="218"/>
      <c r="F30" s="201"/>
      <c r="G30" s="199"/>
      <c r="H30" s="201"/>
      <c r="I30" s="199"/>
      <c r="J30" s="199"/>
      <c r="K30" s="199"/>
      <c r="L30" s="199"/>
      <c r="M30" s="199" t="s">
        <v>159</v>
      </c>
      <c r="N30" s="145"/>
      <c r="O30" s="145"/>
      <c r="P30" s="145"/>
      <c r="Q30" s="145"/>
      <c r="R30" s="145"/>
      <c r="S30" s="145"/>
    </row>
    <row r="31" ht="13.5" customHeight="1">
      <c r="A31" s="212"/>
      <c r="B31" s="213"/>
      <c r="C31" s="217"/>
      <c r="D31" s="219" t="s">
        <v>212</v>
      </c>
      <c r="E31" s="218"/>
      <c r="F31" s="201"/>
      <c r="G31" s="199"/>
      <c r="H31" s="201"/>
      <c r="I31" s="199"/>
      <c r="J31" s="199"/>
      <c r="K31" s="199"/>
      <c r="L31" s="199" t="s">
        <v>159</v>
      </c>
      <c r="M31" s="199"/>
      <c r="N31" s="145"/>
      <c r="O31" s="145"/>
      <c r="P31" s="145"/>
      <c r="Q31" s="145"/>
      <c r="R31" s="145"/>
      <c r="S31" s="145"/>
    </row>
    <row r="32" ht="13.5" customHeight="1">
      <c r="A32" s="212"/>
      <c r="B32" s="213"/>
      <c r="C32" s="217"/>
      <c r="D32" s="219"/>
      <c r="E32" s="218"/>
      <c r="F32" s="201"/>
      <c r="G32" s="199"/>
      <c r="H32" s="201"/>
      <c r="I32" s="199"/>
      <c r="J32" s="201"/>
      <c r="K32" s="201"/>
      <c r="L32" s="201"/>
      <c r="M32" s="201"/>
      <c r="N32" s="145"/>
      <c r="O32" s="145"/>
      <c r="P32" s="145"/>
      <c r="Q32" s="145"/>
      <c r="R32" s="145"/>
      <c r="S32" s="145"/>
    </row>
    <row r="33" ht="13.5" customHeight="1">
      <c r="A33" s="212"/>
      <c r="B33" s="213" t="s">
        <v>176</v>
      </c>
      <c r="C33" s="217"/>
      <c r="D33" s="215"/>
      <c r="E33" s="218"/>
      <c r="F33" s="201"/>
      <c r="G33" s="201"/>
      <c r="H33" s="201"/>
      <c r="I33" s="201"/>
      <c r="J33" s="201"/>
      <c r="K33" s="201"/>
      <c r="L33" s="201"/>
      <c r="M33" s="201"/>
      <c r="N33" s="145"/>
      <c r="O33" s="145"/>
      <c r="P33" s="145"/>
      <c r="Q33" s="145"/>
      <c r="R33" s="145"/>
      <c r="S33" s="145"/>
    </row>
    <row r="34" ht="13.5" customHeight="1">
      <c r="A34" s="212"/>
      <c r="B34" s="213"/>
      <c r="C34" s="217"/>
      <c r="D34" s="219" t="s">
        <v>213</v>
      </c>
      <c r="E34" s="218"/>
      <c r="F34" s="199" t="s">
        <v>159</v>
      </c>
      <c r="G34" s="201"/>
      <c r="H34" s="201"/>
      <c r="I34" s="201"/>
      <c r="J34" s="201"/>
      <c r="K34" s="201"/>
      <c r="L34" s="201"/>
      <c r="M34" s="201"/>
      <c r="N34" s="145"/>
      <c r="O34" s="145"/>
      <c r="P34" s="145"/>
      <c r="Q34" s="145"/>
      <c r="R34" s="145"/>
      <c r="S34" s="145"/>
    </row>
    <row r="35" ht="13.5" customHeight="1">
      <c r="A35" s="212"/>
      <c r="B35" s="220"/>
      <c r="C35" s="221"/>
      <c r="D35" s="222" t="s">
        <v>204</v>
      </c>
      <c r="E35" s="223"/>
      <c r="F35" s="224"/>
      <c r="G35" s="224" t="s">
        <v>159</v>
      </c>
      <c r="H35" s="225"/>
      <c r="I35" s="225"/>
      <c r="J35" s="225"/>
      <c r="K35" s="225"/>
      <c r="L35" s="225"/>
      <c r="M35" s="225"/>
      <c r="N35" s="145"/>
      <c r="O35" s="145"/>
      <c r="P35" s="145"/>
      <c r="Q35" s="145"/>
      <c r="R35" s="145"/>
      <c r="S35" s="145"/>
    </row>
    <row r="36" ht="13.5" customHeight="1">
      <c r="A36" s="212"/>
      <c r="B36" s="220"/>
      <c r="C36" s="221"/>
      <c r="D36" s="222" t="s">
        <v>214</v>
      </c>
      <c r="E36" s="223"/>
      <c r="F36" s="224"/>
      <c r="G36" s="225"/>
      <c r="H36" s="224" t="s">
        <v>159</v>
      </c>
      <c r="I36" s="225"/>
      <c r="J36" s="225"/>
      <c r="K36" s="225"/>
      <c r="L36" s="225"/>
      <c r="M36" s="225"/>
      <c r="N36" s="145"/>
      <c r="O36" s="145"/>
      <c r="P36" s="145"/>
      <c r="Q36" s="145"/>
      <c r="R36" s="145"/>
      <c r="S36" s="145"/>
    </row>
    <row r="37" ht="13.5" customHeight="1">
      <c r="A37" s="212"/>
      <c r="B37" s="220"/>
      <c r="C37" s="221"/>
      <c r="D37" s="222" t="s">
        <v>180</v>
      </c>
      <c r="E37" s="223"/>
      <c r="F37" s="224"/>
      <c r="G37" s="225"/>
      <c r="H37" s="225"/>
      <c r="I37" s="224" t="s">
        <v>159</v>
      </c>
      <c r="J37" s="225"/>
      <c r="K37" s="225"/>
      <c r="L37" s="225"/>
      <c r="M37" s="225"/>
      <c r="N37" s="145"/>
      <c r="O37" s="145"/>
      <c r="P37" s="145"/>
      <c r="Q37" s="145"/>
      <c r="R37" s="145"/>
      <c r="S37" s="145"/>
    </row>
    <row r="38" ht="13.5" customHeight="1">
      <c r="A38" s="212"/>
      <c r="B38" s="220"/>
      <c r="C38" s="221"/>
      <c r="D38" s="222" t="s">
        <v>181</v>
      </c>
      <c r="E38" s="223"/>
      <c r="F38" s="224"/>
      <c r="G38" s="225"/>
      <c r="H38" s="225"/>
      <c r="I38" s="224"/>
      <c r="J38" s="224" t="s">
        <v>159</v>
      </c>
      <c r="K38" s="225"/>
      <c r="L38" s="225"/>
      <c r="M38" s="225"/>
      <c r="N38" s="145"/>
      <c r="O38" s="145"/>
      <c r="P38" s="145"/>
      <c r="Q38" s="145"/>
      <c r="R38" s="145"/>
      <c r="S38" s="145"/>
    </row>
    <row r="39" ht="13.5" customHeight="1">
      <c r="A39" s="212"/>
      <c r="B39" s="220"/>
      <c r="C39" s="221"/>
      <c r="D39" s="222" t="s">
        <v>183</v>
      </c>
      <c r="E39" s="223"/>
      <c r="F39" s="224"/>
      <c r="G39" s="225"/>
      <c r="H39" s="225"/>
      <c r="I39" s="224"/>
      <c r="J39" s="224"/>
      <c r="K39" s="224" t="s">
        <v>159</v>
      </c>
      <c r="L39" s="224"/>
      <c r="M39" s="224"/>
      <c r="N39" s="145"/>
      <c r="O39" s="145"/>
      <c r="P39" s="145"/>
      <c r="Q39" s="145"/>
      <c r="R39" s="145"/>
      <c r="S39" s="145"/>
    </row>
    <row r="40" ht="13.5" customHeight="1">
      <c r="A40" s="212"/>
      <c r="B40" s="220"/>
      <c r="C40" s="221"/>
      <c r="D40" s="222" t="s">
        <v>215</v>
      </c>
      <c r="E40" s="223"/>
      <c r="F40" s="224"/>
      <c r="G40" s="225"/>
      <c r="H40" s="225"/>
      <c r="I40" s="224"/>
      <c r="J40" s="224"/>
      <c r="K40" s="224"/>
      <c r="L40" s="224"/>
      <c r="M40" s="224" t="s">
        <v>159</v>
      </c>
      <c r="N40" s="145"/>
      <c r="O40" s="145"/>
      <c r="P40" s="145"/>
      <c r="Q40" s="145"/>
      <c r="R40" s="145"/>
      <c r="S40" s="145"/>
    </row>
    <row r="41" ht="13.5" customHeight="1">
      <c r="A41" s="212"/>
      <c r="B41" s="220"/>
      <c r="C41" s="221"/>
      <c r="D41" s="222" t="s">
        <v>216</v>
      </c>
      <c r="E41" s="223"/>
      <c r="F41" s="224"/>
      <c r="G41" s="225"/>
      <c r="H41" s="225"/>
      <c r="I41" s="225"/>
      <c r="J41" s="225"/>
      <c r="K41" s="225"/>
      <c r="L41" s="224" t="s">
        <v>159</v>
      </c>
      <c r="M41" s="225"/>
      <c r="N41" s="145"/>
      <c r="O41" s="145"/>
      <c r="P41" s="145"/>
      <c r="Q41" s="145"/>
      <c r="R41" s="145"/>
      <c r="S41" s="145"/>
    </row>
    <row r="42" ht="13.5" customHeight="1">
      <c r="A42" s="207" t="s">
        <v>184</v>
      </c>
      <c r="B42" s="226" t="s">
        <v>185</v>
      </c>
      <c r="C42" s="227"/>
      <c r="D42" s="228"/>
      <c r="E42" s="229"/>
      <c r="F42" s="230" t="s">
        <v>83</v>
      </c>
      <c r="G42" s="230" t="s">
        <v>65</v>
      </c>
      <c r="H42" s="230" t="s">
        <v>65</v>
      </c>
      <c r="I42" s="230" t="s">
        <v>84</v>
      </c>
      <c r="J42" s="230" t="s">
        <v>84</v>
      </c>
      <c r="K42" s="230" t="s">
        <v>65</v>
      </c>
      <c r="L42" s="230" t="s">
        <v>65</v>
      </c>
      <c r="M42" s="231" t="s">
        <v>65</v>
      </c>
      <c r="N42" s="145"/>
      <c r="O42" s="145"/>
      <c r="P42" s="145"/>
      <c r="Q42" s="145"/>
      <c r="R42" s="145"/>
      <c r="S42" s="145"/>
    </row>
    <row r="43" ht="13.5" customHeight="1">
      <c r="A43" s="212"/>
      <c r="B43" s="232" t="s">
        <v>186</v>
      </c>
      <c r="C43" s="18"/>
      <c r="D43" s="19"/>
      <c r="E43" s="233"/>
      <c r="F43" s="234" t="s">
        <v>187</v>
      </c>
      <c r="G43" s="234" t="s">
        <v>187</v>
      </c>
      <c r="H43" s="234" t="s">
        <v>187</v>
      </c>
      <c r="I43" s="234" t="s">
        <v>187</v>
      </c>
      <c r="J43" s="234" t="s">
        <v>187</v>
      </c>
      <c r="K43" s="235" t="s">
        <v>187</v>
      </c>
      <c r="L43" s="235" t="s">
        <v>187</v>
      </c>
      <c r="M43" s="235" t="s">
        <v>187</v>
      </c>
      <c r="N43" s="145"/>
      <c r="O43" s="145"/>
      <c r="P43" s="145"/>
      <c r="Q43" s="145"/>
      <c r="R43" s="145"/>
      <c r="S43" s="145"/>
    </row>
    <row r="44" ht="13.5" customHeight="1">
      <c r="A44" s="212"/>
      <c r="B44" s="236" t="s">
        <v>188</v>
      </c>
      <c r="C44" s="18"/>
      <c r="D44" s="19"/>
      <c r="E44" s="237"/>
      <c r="F44" s="238">
        <v>45963.0</v>
      </c>
      <c r="G44" s="238">
        <v>45963.0</v>
      </c>
      <c r="H44" s="238">
        <v>45963.0</v>
      </c>
      <c r="I44" s="238">
        <v>45963.0</v>
      </c>
      <c r="J44" s="238">
        <v>45963.0</v>
      </c>
      <c r="K44" s="238">
        <v>45963.0</v>
      </c>
      <c r="L44" s="238">
        <v>45963.0</v>
      </c>
      <c r="M44" s="238">
        <v>45963.0</v>
      </c>
      <c r="N44" s="145"/>
      <c r="O44" s="145"/>
      <c r="P44" s="145"/>
      <c r="Q44" s="145"/>
      <c r="R44" s="145"/>
      <c r="S44" s="145"/>
    </row>
    <row r="45" ht="79.5" customHeight="1">
      <c r="A45" s="239"/>
      <c r="B45" s="240" t="s">
        <v>189</v>
      </c>
      <c r="C45" s="241"/>
      <c r="D45" s="242"/>
      <c r="E45" s="243"/>
      <c r="F45" s="244"/>
      <c r="G45" s="244"/>
      <c r="H45" s="244"/>
      <c r="I45" s="244"/>
      <c r="J45" s="244"/>
      <c r="K45" s="244"/>
      <c r="L45" s="244"/>
      <c r="M45" s="244"/>
      <c r="N45" s="145"/>
      <c r="O45" s="145"/>
      <c r="P45" s="145"/>
      <c r="Q45" s="145"/>
      <c r="R45" s="145"/>
      <c r="S45" s="145"/>
    </row>
    <row r="46" ht="12.0" customHeight="1">
      <c r="A46" s="245"/>
      <c r="B46" s="182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82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82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82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82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82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82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82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82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82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82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82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82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82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82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82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82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82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82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82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82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82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82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82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82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82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82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</row>
    <row r="1002" ht="13.5" customHeight="1">
      <c r="A1002" s="145"/>
      <c r="B1002" s="182"/>
      <c r="C1002" s="145"/>
      <c r="D1002" s="146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</row>
    <row r="1003" ht="13.5" customHeight="1">
      <c r="A1003" s="145"/>
      <c r="B1003" s="182"/>
      <c r="C1003" s="145"/>
      <c r="D1003" s="146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</row>
  </sheetData>
  <mergeCells count="27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42:D42"/>
    <mergeCell ref="B43:D43"/>
    <mergeCell ref="B44:D44"/>
    <mergeCell ref="B45:D45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M41">
      <formula1>"O"</formula1>
    </dataValidation>
    <dataValidation type="list" allowBlank="1" showInputMessage="1" showErrorMessage="1" prompt=" - " sqref="F42:M42">
      <formula1>"N,A,B"</formula1>
    </dataValidation>
    <dataValidation type="list" allowBlank="1" showInputMessage="1" showErrorMessage="1" prompt=" - " sqref="F43:M43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2" width="5.25"/>
    <col customWidth="1" min="13" max="13" width="4.13"/>
    <col customWidth="1" min="14" max="15" width="4.25"/>
    <col customWidth="1" min="16" max="16" width="3.88"/>
    <col customWidth="1" min="17" max="18" width="4.5"/>
    <col customWidth="1" min="19" max="21" width="2.88"/>
    <col customWidth="1" min="22" max="23" width="9.0"/>
    <col customWidth="1" min="24" max="27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</row>
    <row r="2" ht="13.5" customHeight="1">
      <c r="A2" s="147" t="s">
        <v>141</v>
      </c>
      <c r="B2" s="148"/>
      <c r="C2" s="149" t="str">
        <f>Functions!E14</f>
        <v>RCO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Functions!D14</f>
        <v>requestCreateOrganization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  <c r="AA2" s="145"/>
    </row>
    <row r="3" ht="13.5" customHeight="1">
      <c r="A3" s="158" t="s">
        <v>142</v>
      </c>
      <c r="B3" s="19"/>
      <c r="C3" s="159" t="s">
        <v>49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49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  <c r="AA3" s="145"/>
    </row>
    <row r="4" ht="13.5" customHeight="1">
      <c r="A4" s="158" t="s">
        <v>144</v>
      </c>
      <c r="B4" s="19"/>
      <c r="C4" s="167">
        <v>100.0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-3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  <c r="AA4" s="145"/>
    </row>
    <row r="5" ht="13.5" customHeight="1">
      <c r="A5" s="158" t="s">
        <v>146</v>
      </c>
      <c r="B5" s="19"/>
      <c r="C5" s="17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  <c r="AA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  <c r="AA6" s="145"/>
    </row>
    <row r="7" ht="13.5" customHeight="1">
      <c r="A7" s="175">
        <f>COUNTIF(F70:HR70,"P")</f>
        <v>13</v>
      </c>
      <c r="B7" s="176"/>
      <c r="C7" s="177">
        <f>COUNTIF(F70:HR70,"F")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COUNTIF(E69:HR69,"N")</f>
        <v>2</v>
      </c>
      <c r="M7" s="179">
        <f>COUNTIF(E69:HR69,"A")</f>
        <v>4</v>
      </c>
      <c r="N7" s="179">
        <f>COUNTIF(E69:HR69,"B")</f>
        <v>7</v>
      </c>
      <c r="O7" s="177">
        <f>COUNTA(E9:HU9)</f>
        <v>13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  <c r="AA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187" t="s">
        <v>155</v>
      </c>
      <c r="M9" s="246" t="s">
        <v>191</v>
      </c>
      <c r="N9" s="246" t="s">
        <v>217</v>
      </c>
      <c r="O9" s="246" t="s">
        <v>218</v>
      </c>
      <c r="P9" s="246" t="s">
        <v>219</v>
      </c>
      <c r="Q9" s="246" t="s">
        <v>220</v>
      </c>
      <c r="R9" s="246" t="s">
        <v>221</v>
      </c>
      <c r="S9" s="188"/>
      <c r="T9" s="157"/>
      <c r="U9" s="145"/>
      <c r="V9" s="145"/>
      <c r="W9" s="145"/>
      <c r="X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45"/>
      <c r="T10" s="145"/>
      <c r="U10" s="145"/>
      <c r="V10" s="145"/>
      <c r="W10" s="145"/>
      <c r="X10" s="145"/>
    </row>
    <row r="11" ht="13.5" customHeight="1">
      <c r="A11" s="195"/>
      <c r="B11" s="196"/>
      <c r="C11" s="197"/>
      <c r="D11" s="198" t="s">
        <v>158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99" t="s">
        <v>159</v>
      </c>
      <c r="N11" s="199" t="s">
        <v>159</v>
      </c>
      <c r="O11" s="199" t="s">
        <v>159</v>
      </c>
      <c r="P11" s="199" t="s">
        <v>159</v>
      </c>
      <c r="Q11" s="199" t="s">
        <v>159</v>
      </c>
      <c r="R11" s="199" t="s">
        <v>159</v>
      </c>
      <c r="S11" s="145"/>
      <c r="T11" s="157"/>
      <c r="U11" s="145"/>
      <c r="V11" s="145"/>
      <c r="W11" s="145"/>
      <c r="X11" s="145"/>
    </row>
    <row r="12" ht="13.5" customHeight="1">
      <c r="A12" s="195"/>
      <c r="B12" s="200" t="s">
        <v>165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145"/>
      <c r="T12" s="145"/>
      <c r="U12" s="145"/>
      <c r="V12" s="145"/>
      <c r="W12" s="145"/>
      <c r="X12" s="145"/>
    </row>
    <row r="13" ht="13.5" customHeight="1">
      <c r="A13" s="195"/>
      <c r="B13" s="196"/>
      <c r="C13" s="197"/>
      <c r="D13" s="202" t="s">
        <v>222</v>
      </c>
      <c r="E13" s="203"/>
      <c r="F13" s="199" t="s">
        <v>159</v>
      </c>
      <c r="G13" s="199" t="s">
        <v>159</v>
      </c>
      <c r="H13" s="199"/>
      <c r="I13" s="199" t="s">
        <v>159</v>
      </c>
      <c r="J13" s="199" t="s">
        <v>159</v>
      </c>
      <c r="K13" s="199" t="s">
        <v>159</v>
      </c>
      <c r="L13" s="199" t="s">
        <v>159</v>
      </c>
      <c r="M13" s="199" t="s">
        <v>159</v>
      </c>
      <c r="N13" s="199" t="s">
        <v>159</v>
      </c>
      <c r="O13" s="199" t="s">
        <v>159</v>
      </c>
      <c r="P13" s="199" t="s">
        <v>159</v>
      </c>
      <c r="Q13" s="199" t="s">
        <v>159</v>
      </c>
      <c r="R13" s="199" t="s">
        <v>159</v>
      </c>
      <c r="S13" s="145"/>
      <c r="T13" s="145"/>
      <c r="U13" s="145"/>
      <c r="V13" s="145"/>
      <c r="W13" s="145"/>
      <c r="X13" s="145"/>
    </row>
    <row r="14" ht="13.5" customHeight="1">
      <c r="A14" s="195"/>
      <c r="B14" s="196"/>
      <c r="C14" s="197"/>
      <c r="D14" s="202" t="s">
        <v>163</v>
      </c>
      <c r="E14" s="203"/>
      <c r="F14" s="199"/>
      <c r="G14" s="199"/>
      <c r="H14" s="199" t="s">
        <v>159</v>
      </c>
      <c r="I14" s="201"/>
      <c r="J14" s="199"/>
      <c r="K14" s="199"/>
      <c r="L14" s="201"/>
      <c r="M14" s="201"/>
      <c r="N14" s="201"/>
      <c r="O14" s="201"/>
      <c r="P14" s="201"/>
      <c r="Q14" s="201"/>
      <c r="R14" s="201"/>
      <c r="S14" s="145"/>
      <c r="T14" s="145"/>
      <c r="U14" s="145"/>
      <c r="V14" s="145"/>
      <c r="W14" s="145"/>
      <c r="X14" s="145"/>
    </row>
    <row r="15" ht="13.5" customHeight="1">
      <c r="A15" s="195"/>
      <c r="B15" s="200" t="s">
        <v>223</v>
      </c>
      <c r="C15" s="197"/>
      <c r="D15" s="202"/>
      <c r="E15" s="204"/>
      <c r="F15" s="201"/>
      <c r="G15" s="199"/>
      <c r="H15" s="201"/>
      <c r="I15" s="199"/>
      <c r="J15" s="201"/>
      <c r="K15" s="201"/>
      <c r="L15" s="201"/>
      <c r="M15" s="201"/>
      <c r="N15" s="201"/>
      <c r="O15" s="201"/>
      <c r="P15" s="201"/>
      <c r="Q15" s="201"/>
      <c r="R15" s="201"/>
      <c r="S15" s="145"/>
      <c r="T15" s="145"/>
      <c r="U15" s="145"/>
      <c r="V15" s="145"/>
      <c r="W15" s="145"/>
      <c r="X15" s="145"/>
    </row>
    <row r="16" ht="13.5" customHeight="1">
      <c r="A16" s="195"/>
      <c r="B16" s="196"/>
      <c r="C16" s="197"/>
      <c r="D16" s="202" t="s">
        <v>224</v>
      </c>
      <c r="E16" s="204"/>
      <c r="F16" s="199" t="s">
        <v>159</v>
      </c>
      <c r="G16" s="199" t="s">
        <v>159</v>
      </c>
      <c r="H16" s="199" t="s">
        <v>159</v>
      </c>
      <c r="I16" s="199" t="s">
        <v>159</v>
      </c>
      <c r="J16" s="199" t="s">
        <v>159</v>
      </c>
      <c r="K16" s="199" t="s">
        <v>159</v>
      </c>
      <c r="L16" s="199"/>
      <c r="M16" s="199" t="s">
        <v>159</v>
      </c>
      <c r="N16" s="199" t="s">
        <v>159</v>
      </c>
      <c r="O16" s="199" t="s">
        <v>159</v>
      </c>
      <c r="P16" s="199" t="s">
        <v>159</v>
      </c>
      <c r="Q16" s="199" t="s">
        <v>159</v>
      </c>
      <c r="R16" s="199" t="s">
        <v>159</v>
      </c>
      <c r="S16" s="145"/>
      <c r="T16" s="145"/>
      <c r="U16" s="145"/>
      <c r="V16" s="145"/>
      <c r="W16" s="145"/>
      <c r="X16" s="145"/>
    </row>
    <row r="17" ht="13.5" customHeight="1">
      <c r="A17" s="195"/>
      <c r="B17" s="196"/>
      <c r="C17" s="197"/>
      <c r="D17" s="202" t="s">
        <v>163</v>
      </c>
      <c r="E17" s="204"/>
      <c r="F17" s="199"/>
      <c r="G17" s="199"/>
      <c r="H17" s="199"/>
      <c r="I17" s="199"/>
      <c r="J17" s="199"/>
      <c r="K17" s="199"/>
      <c r="L17" s="199" t="s">
        <v>159</v>
      </c>
      <c r="M17" s="201"/>
      <c r="N17" s="201"/>
      <c r="O17" s="201"/>
      <c r="P17" s="201"/>
      <c r="Q17" s="201"/>
      <c r="R17" s="201"/>
      <c r="S17" s="145"/>
      <c r="T17" s="145"/>
      <c r="U17" s="145"/>
      <c r="V17" s="145"/>
      <c r="W17" s="145"/>
      <c r="X17" s="145"/>
    </row>
    <row r="18" ht="13.5" customHeight="1">
      <c r="A18" s="195"/>
      <c r="B18" s="200" t="s">
        <v>225</v>
      </c>
      <c r="C18" s="197"/>
      <c r="D18" s="202"/>
      <c r="E18" s="204"/>
      <c r="F18" s="201"/>
      <c r="G18" s="201"/>
      <c r="H18" s="201"/>
      <c r="I18" s="201"/>
      <c r="J18" s="199"/>
      <c r="K18" s="199"/>
      <c r="L18" s="199"/>
      <c r="M18" s="199"/>
      <c r="N18" s="199"/>
      <c r="O18" s="199"/>
      <c r="P18" s="199"/>
      <c r="Q18" s="199"/>
      <c r="R18" s="199"/>
      <c r="S18" s="145"/>
      <c r="T18" s="145"/>
      <c r="U18" s="145"/>
      <c r="V18" s="145"/>
      <c r="W18" s="145"/>
      <c r="X18" s="145"/>
    </row>
    <row r="19" ht="13.5" customHeight="1">
      <c r="A19" s="195"/>
      <c r="B19" s="196"/>
      <c r="C19" s="197"/>
      <c r="D19" s="202" t="s">
        <v>226</v>
      </c>
      <c r="E19" s="204"/>
      <c r="F19" s="199" t="s">
        <v>159</v>
      </c>
      <c r="G19" s="199" t="s">
        <v>159</v>
      </c>
      <c r="H19" s="199" t="s">
        <v>159</v>
      </c>
      <c r="I19" s="199" t="s">
        <v>159</v>
      </c>
      <c r="J19" s="199" t="s">
        <v>159</v>
      </c>
      <c r="K19" s="199" t="s">
        <v>159</v>
      </c>
      <c r="L19" s="199" t="s">
        <v>159</v>
      </c>
      <c r="M19" s="199"/>
      <c r="N19" s="199" t="s">
        <v>159</v>
      </c>
      <c r="O19" s="199" t="s">
        <v>159</v>
      </c>
      <c r="P19" s="199" t="s">
        <v>159</v>
      </c>
      <c r="Q19" s="199" t="s">
        <v>159</v>
      </c>
      <c r="R19" s="199" t="s">
        <v>159</v>
      </c>
      <c r="S19" s="145"/>
      <c r="T19" s="145"/>
      <c r="U19" s="145"/>
      <c r="V19" s="145"/>
      <c r="W19" s="145"/>
      <c r="X19" s="145"/>
    </row>
    <row r="20" ht="13.5" customHeight="1">
      <c r="A20" s="195"/>
      <c r="B20" s="196"/>
      <c r="C20" s="197"/>
      <c r="D20" s="202" t="s">
        <v>163</v>
      </c>
      <c r="E20" s="204"/>
      <c r="F20" s="199"/>
      <c r="G20" s="199"/>
      <c r="H20" s="199"/>
      <c r="I20" s="199"/>
      <c r="J20" s="199"/>
      <c r="K20" s="199"/>
      <c r="L20" s="199"/>
      <c r="M20" s="199" t="s">
        <v>159</v>
      </c>
      <c r="N20" s="199"/>
      <c r="O20" s="199"/>
      <c r="P20" s="199"/>
      <c r="Q20" s="199"/>
      <c r="R20" s="199"/>
      <c r="S20" s="145"/>
      <c r="T20" s="145"/>
      <c r="U20" s="145"/>
      <c r="V20" s="145"/>
      <c r="W20" s="145"/>
      <c r="X20" s="145"/>
    </row>
    <row r="21" ht="13.5" customHeight="1">
      <c r="A21" s="195"/>
      <c r="B21" s="200" t="s">
        <v>227</v>
      </c>
      <c r="C21" s="197"/>
      <c r="D21" s="198"/>
      <c r="E21" s="204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145"/>
      <c r="T21" s="145"/>
      <c r="U21" s="145"/>
      <c r="V21" s="145"/>
      <c r="W21" s="145"/>
      <c r="X21" s="145"/>
    </row>
    <row r="22" ht="13.5" customHeight="1">
      <c r="A22" s="195"/>
      <c r="B22" s="196"/>
      <c r="C22" s="197"/>
      <c r="D22" s="202" t="s">
        <v>228</v>
      </c>
      <c r="E22" s="204"/>
      <c r="F22" s="199" t="s">
        <v>159</v>
      </c>
      <c r="G22" s="199" t="s">
        <v>159</v>
      </c>
      <c r="H22" s="199" t="s">
        <v>159</v>
      </c>
      <c r="I22" s="199" t="s">
        <v>159</v>
      </c>
      <c r="J22" s="199" t="s">
        <v>159</v>
      </c>
      <c r="K22" s="199" t="s">
        <v>159</v>
      </c>
      <c r="L22" s="199" t="s">
        <v>159</v>
      </c>
      <c r="M22" s="199" t="s">
        <v>159</v>
      </c>
      <c r="N22" s="201"/>
      <c r="O22" s="199" t="s">
        <v>159</v>
      </c>
      <c r="P22" s="199" t="s">
        <v>159</v>
      </c>
      <c r="Q22" s="199" t="s">
        <v>159</v>
      </c>
      <c r="R22" s="199" t="s">
        <v>159</v>
      </c>
      <c r="S22" s="145"/>
      <c r="T22" s="145"/>
      <c r="U22" s="145"/>
      <c r="V22" s="145"/>
      <c r="W22" s="145"/>
      <c r="X22" s="145"/>
    </row>
    <row r="23" ht="13.5" customHeight="1">
      <c r="A23" s="195"/>
      <c r="B23" s="196"/>
      <c r="C23" s="197"/>
      <c r="D23" s="202" t="s">
        <v>163</v>
      </c>
      <c r="E23" s="204"/>
      <c r="F23" s="199"/>
      <c r="G23" s="199"/>
      <c r="H23" s="199"/>
      <c r="I23" s="199"/>
      <c r="J23" s="199"/>
      <c r="K23" s="199"/>
      <c r="L23" s="199"/>
      <c r="M23" s="199"/>
      <c r="N23" s="199" t="s">
        <v>159</v>
      </c>
      <c r="O23" s="201"/>
      <c r="P23" s="201"/>
      <c r="Q23" s="201"/>
      <c r="R23" s="201"/>
      <c r="S23" s="145"/>
      <c r="T23" s="145"/>
      <c r="U23" s="145"/>
      <c r="V23" s="145"/>
      <c r="W23" s="145"/>
      <c r="X23" s="145"/>
    </row>
    <row r="24" ht="13.5" customHeight="1">
      <c r="A24" s="195"/>
      <c r="B24" s="200" t="s">
        <v>229</v>
      </c>
      <c r="C24" s="197"/>
      <c r="D24" s="202"/>
      <c r="E24" s="204"/>
      <c r="F24" s="201"/>
      <c r="G24" s="199"/>
      <c r="H24" s="199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145"/>
      <c r="T24" s="145"/>
      <c r="U24" s="145"/>
      <c r="V24" s="145"/>
      <c r="W24" s="145"/>
      <c r="X24" s="145"/>
    </row>
    <row r="25" ht="13.5" customHeight="1">
      <c r="A25" s="195"/>
      <c r="B25" s="200"/>
      <c r="C25" s="197"/>
      <c r="D25" s="202" t="s">
        <v>230</v>
      </c>
      <c r="E25" s="204"/>
      <c r="F25" s="199" t="s">
        <v>159</v>
      </c>
      <c r="G25" s="199"/>
      <c r="H25" s="199" t="s">
        <v>159</v>
      </c>
      <c r="I25" s="199" t="s">
        <v>159</v>
      </c>
      <c r="J25" s="199" t="s">
        <v>159</v>
      </c>
      <c r="K25" s="199" t="s">
        <v>159</v>
      </c>
      <c r="L25" s="199" t="s">
        <v>159</v>
      </c>
      <c r="M25" s="199" t="s">
        <v>159</v>
      </c>
      <c r="N25" s="199" t="s">
        <v>159</v>
      </c>
      <c r="O25" s="199" t="s">
        <v>159</v>
      </c>
      <c r="P25" s="199" t="s">
        <v>159</v>
      </c>
      <c r="Q25" s="199" t="s">
        <v>159</v>
      </c>
      <c r="R25" s="199" t="s">
        <v>159</v>
      </c>
      <c r="S25" s="145"/>
      <c r="T25" s="145"/>
      <c r="U25" s="145"/>
      <c r="V25" s="145"/>
      <c r="W25" s="145"/>
      <c r="X25" s="145"/>
    </row>
    <row r="26" ht="13.5" customHeight="1">
      <c r="A26" s="195"/>
      <c r="B26" s="200"/>
      <c r="C26" s="197"/>
      <c r="D26" s="202" t="s">
        <v>231</v>
      </c>
      <c r="E26" s="204"/>
      <c r="F26" s="199"/>
      <c r="G26" s="199" t="s">
        <v>159</v>
      </c>
      <c r="H26" s="199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145"/>
      <c r="T26" s="145"/>
      <c r="U26" s="145"/>
      <c r="V26" s="145"/>
      <c r="W26" s="145"/>
      <c r="X26" s="145"/>
    </row>
    <row r="27" ht="13.5" customHeight="1">
      <c r="A27" s="195"/>
      <c r="B27" s="200" t="s">
        <v>232</v>
      </c>
      <c r="C27" s="197"/>
      <c r="D27" s="202"/>
      <c r="E27" s="204"/>
      <c r="F27" s="201"/>
      <c r="G27" s="199"/>
      <c r="H27" s="199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145"/>
      <c r="T27" s="145"/>
      <c r="U27" s="145"/>
      <c r="V27" s="145"/>
      <c r="W27" s="145"/>
      <c r="X27" s="145"/>
    </row>
    <row r="28" ht="13.5" customHeight="1">
      <c r="A28" s="195"/>
      <c r="B28" s="200"/>
      <c r="C28" s="197"/>
      <c r="D28" s="202">
        <v>1.11222333335E11</v>
      </c>
      <c r="E28" s="204"/>
      <c r="F28" s="199" t="s">
        <v>159</v>
      </c>
      <c r="G28" s="199" t="s">
        <v>159</v>
      </c>
      <c r="H28" s="199" t="s">
        <v>159</v>
      </c>
      <c r="I28" s="199" t="s">
        <v>159</v>
      </c>
      <c r="J28" s="199" t="s">
        <v>159</v>
      </c>
      <c r="K28" s="199" t="s">
        <v>159</v>
      </c>
      <c r="L28" s="199" t="s">
        <v>159</v>
      </c>
      <c r="M28" s="199" t="s">
        <v>159</v>
      </c>
      <c r="N28" s="199" t="s">
        <v>159</v>
      </c>
      <c r="O28" s="201"/>
      <c r="P28" s="199" t="s">
        <v>159</v>
      </c>
      <c r="Q28" s="199" t="s">
        <v>159</v>
      </c>
      <c r="R28" s="199" t="s">
        <v>159</v>
      </c>
      <c r="S28" s="145"/>
      <c r="T28" s="145"/>
      <c r="U28" s="145"/>
      <c r="V28" s="145"/>
      <c r="W28" s="145"/>
      <c r="X28" s="145"/>
    </row>
    <row r="29" ht="13.5" customHeight="1">
      <c r="A29" s="195"/>
      <c r="B29" s="200"/>
      <c r="C29" s="197"/>
      <c r="D29" s="202" t="s">
        <v>163</v>
      </c>
      <c r="E29" s="204"/>
      <c r="F29" s="199"/>
      <c r="G29" s="199"/>
      <c r="H29" s="199"/>
      <c r="I29" s="199"/>
      <c r="J29" s="199"/>
      <c r="K29" s="199"/>
      <c r="L29" s="199"/>
      <c r="M29" s="199"/>
      <c r="N29" s="199"/>
      <c r="O29" s="199" t="s">
        <v>159</v>
      </c>
      <c r="P29" s="201"/>
      <c r="Q29" s="201"/>
      <c r="R29" s="201"/>
      <c r="S29" s="145"/>
      <c r="T29" s="145"/>
      <c r="U29" s="145"/>
      <c r="V29" s="145"/>
      <c r="W29" s="145"/>
      <c r="X29" s="145"/>
    </row>
    <row r="30" ht="13.5" customHeight="1">
      <c r="A30" s="195"/>
      <c r="B30" s="200" t="s">
        <v>233</v>
      </c>
      <c r="C30" s="197"/>
      <c r="D30" s="202"/>
      <c r="E30" s="204"/>
      <c r="F30" s="201"/>
      <c r="G30" s="199"/>
      <c r="H30" s="199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145"/>
      <c r="T30" s="145"/>
      <c r="U30" s="145"/>
      <c r="V30" s="145"/>
      <c r="W30" s="145"/>
      <c r="X30" s="145"/>
    </row>
    <row r="31" ht="13.5" customHeight="1">
      <c r="A31" s="195"/>
      <c r="B31" s="200"/>
      <c r="C31" s="197"/>
      <c r="D31" s="202" t="s">
        <v>230</v>
      </c>
      <c r="E31" s="204"/>
      <c r="F31" s="199" t="s">
        <v>159</v>
      </c>
      <c r="G31" s="199" t="s">
        <v>159</v>
      </c>
      <c r="H31" s="199" t="s">
        <v>159</v>
      </c>
      <c r="I31" s="199" t="s">
        <v>159</v>
      </c>
      <c r="J31" s="199" t="s">
        <v>159</v>
      </c>
      <c r="K31" s="199" t="s">
        <v>159</v>
      </c>
      <c r="L31" s="199" t="s">
        <v>159</v>
      </c>
      <c r="M31" s="199" t="s">
        <v>159</v>
      </c>
      <c r="N31" s="199" t="s">
        <v>159</v>
      </c>
      <c r="O31" s="199" t="s">
        <v>159</v>
      </c>
      <c r="P31" s="199" t="s">
        <v>159</v>
      </c>
      <c r="Q31" s="199" t="s">
        <v>159</v>
      </c>
      <c r="R31" s="199" t="s">
        <v>159</v>
      </c>
      <c r="S31" s="145"/>
      <c r="T31" s="145"/>
      <c r="U31" s="145"/>
      <c r="V31" s="145"/>
      <c r="W31" s="145"/>
      <c r="X31" s="145"/>
    </row>
    <row r="32" ht="13.5" customHeight="1">
      <c r="A32" s="195"/>
      <c r="B32" s="200" t="s">
        <v>234</v>
      </c>
      <c r="C32" s="197"/>
      <c r="D32" s="202"/>
      <c r="E32" s="204"/>
      <c r="F32" s="201"/>
      <c r="G32" s="199"/>
      <c r="H32" s="199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145"/>
      <c r="T32" s="145"/>
      <c r="U32" s="145"/>
      <c r="V32" s="145"/>
      <c r="W32" s="145"/>
      <c r="X32" s="145"/>
    </row>
    <row r="33" ht="13.5" customHeight="1">
      <c r="A33" s="195"/>
      <c r="B33" s="200"/>
      <c r="C33" s="197"/>
      <c r="D33" s="202">
        <v>1.022292912E9</v>
      </c>
      <c r="E33" s="204"/>
      <c r="F33" s="199" t="s">
        <v>159</v>
      </c>
      <c r="G33" s="199" t="s">
        <v>159</v>
      </c>
      <c r="H33" s="199" t="s">
        <v>159</v>
      </c>
      <c r="I33" s="199" t="s">
        <v>159</v>
      </c>
      <c r="J33" s="199" t="s">
        <v>159</v>
      </c>
      <c r="K33" s="199" t="s">
        <v>159</v>
      </c>
      <c r="L33" s="199" t="s">
        <v>159</v>
      </c>
      <c r="M33" s="199" t="s">
        <v>159</v>
      </c>
      <c r="N33" s="199" t="s">
        <v>159</v>
      </c>
      <c r="O33" s="199" t="s">
        <v>159</v>
      </c>
      <c r="P33" s="201"/>
      <c r="Q33" s="199" t="s">
        <v>159</v>
      </c>
      <c r="R33" s="199" t="s">
        <v>159</v>
      </c>
      <c r="S33" s="145"/>
      <c r="T33" s="145"/>
      <c r="U33" s="145"/>
      <c r="V33" s="145"/>
      <c r="W33" s="145"/>
      <c r="X33" s="145"/>
    </row>
    <row r="34" ht="13.5" customHeight="1">
      <c r="A34" s="195"/>
      <c r="B34" s="200"/>
      <c r="C34" s="197"/>
      <c r="D34" s="202" t="s">
        <v>163</v>
      </c>
      <c r="E34" s="204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 t="s">
        <v>159</v>
      </c>
      <c r="Q34" s="201"/>
      <c r="R34" s="201"/>
      <c r="S34" s="145"/>
      <c r="T34" s="145"/>
      <c r="U34" s="145"/>
      <c r="V34" s="145"/>
      <c r="W34" s="145"/>
      <c r="X34" s="145"/>
    </row>
    <row r="35" ht="13.5" customHeight="1">
      <c r="A35" s="195"/>
      <c r="B35" s="200" t="s">
        <v>235</v>
      </c>
      <c r="C35" s="197"/>
      <c r="D35" s="202"/>
      <c r="E35" s="204"/>
      <c r="F35" s="201"/>
      <c r="G35" s="199"/>
      <c r="H35" s="199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145"/>
      <c r="T35" s="145"/>
      <c r="U35" s="145"/>
      <c r="V35" s="145"/>
      <c r="W35" s="145"/>
      <c r="X35" s="145"/>
    </row>
    <row r="36" ht="13.5" customHeight="1">
      <c r="A36" s="195"/>
      <c r="B36" s="200"/>
      <c r="C36" s="197"/>
      <c r="D36" s="202" t="s">
        <v>236</v>
      </c>
      <c r="E36" s="204"/>
      <c r="F36" s="199" t="s">
        <v>159</v>
      </c>
      <c r="G36" s="199" t="s">
        <v>159</v>
      </c>
      <c r="H36" s="199" t="s">
        <v>159</v>
      </c>
      <c r="I36" s="199" t="s">
        <v>159</v>
      </c>
      <c r="J36" s="199" t="s">
        <v>159</v>
      </c>
      <c r="K36" s="199" t="s">
        <v>159</v>
      </c>
      <c r="L36" s="199" t="s">
        <v>159</v>
      </c>
      <c r="M36" s="199" t="s">
        <v>159</v>
      </c>
      <c r="N36" s="199" t="s">
        <v>159</v>
      </c>
      <c r="O36" s="199" t="s">
        <v>159</v>
      </c>
      <c r="P36" s="199" t="s">
        <v>159</v>
      </c>
      <c r="Q36" s="201"/>
      <c r="R36" s="199" t="s">
        <v>159</v>
      </c>
      <c r="S36" s="145"/>
      <c r="T36" s="145"/>
      <c r="U36" s="145"/>
      <c r="V36" s="145"/>
      <c r="W36" s="145"/>
      <c r="X36" s="145"/>
    </row>
    <row r="37" ht="13.5" customHeight="1">
      <c r="A37" s="195"/>
      <c r="B37" s="200"/>
      <c r="C37" s="197"/>
      <c r="D37" s="202" t="s">
        <v>163</v>
      </c>
      <c r="E37" s="204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 t="s">
        <v>159</v>
      </c>
      <c r="R37" s="201"/>
      <c r="S37" s="145"/>
      <c r="T37" s="145"/>
      <c r="U37" s="145"/>
      <c r="V37" s="145"/>
      <c r="W37" s="145"/>
      <c r="X37" s="145"/>
    </row>
    <row r="38" ht="13.5" customHeight="1">
      <c r="A38" s="195"/>
      <c r="B38" s="200" t="s">
        <v>237</v>
      </c>
      <c r="C38" s="197"/>
      <c r="D38" s="202"/>
      <c r="E38" s="204"/>
      <c r="F38" s="201"/>
      <c r="G38" s="199"/>
      <c r="H38" s="199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145"/>
      <c r="T38" s="145"/>
      <c r="U38" s="145"/>
      <c r="V38" s="145"/>
      <c r="W38" s="145"/>
      <c r="X38" s="145"/>
    </row>
    <row r="39" ht="13.5" customHeight="1">
      <c r="A39" s="195"/>
      <c r="B39" s="200"/>
      <c r="C39" s="197"/>
      <c r="D39" s="202" t="s">
        <v>238</v>
      </c>
      <c r="E39" s="204"/>
      <c r="F39" s="199" t="s">
        <v>159</v>
      </c>
      <c r="G39" s="199" t="s">
        <v>159</v>
      </c>
      <c r="H39" s="199" t="s">
        <v>159</v>
      </c>
      <c r="I39" s="199" t="s">
        <v>159</v>
      </c>
      <c r="J39" s="199" t="s">
        <v>159</v>
      </c>
      <c r="K39" s="199" t="s">
        <v>159</v>
      </c>
      <c r="L39" s="199" t="s">
        <v>159</v>
      </c>
      <c r="M39" s="199" t="s">
        <v>159</v>
      </c>
      <c r="N39" s="199" t="s">
        <v>159</v>
      </c>
      <c r="O39" s="199" t="s">
        <v>159</v>
      </c>
      <c r="P39" s="199" t="s">
        <v>159</v>
      </c>
      <c r="Q39" s="199" t="s">
        <v>159</v>
      </c>
      <c r="R39" s="199" t="s">
        <v>159</v>
      </c>
      <c r="S39" s="145"/>
      <c r="T39" s="145"/>
      <c r="U39" s="145"/>
      <c r="V39" s="145"/>
      <c r="W39" s="145"/>
      <c r="X39" s="145"/>
    </row>
    <row r="40" ht="13.5" customHeight="1">
      <c r="A40" s="195"/>
      <c r="B40" s="200" t="s">
        <v>160</v>
      </c>
      <c r="C40" s="197"/>
      <c r="D40" s="202"/>
      <c r="E40" s="204"/>
      <c r="F40" s="201"/>
      <c r="G40" s="199"/>
      <c r="H40" s="199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145"/>
      <c r="T40" s="145"/>
      <c r="U40" s="145"/>
      <c r="V40" s="145"/>
      <c r="W40" s="145"/>
      <c r="X40" s="145"/>
    </row>
    <row r="41" ht="13.5" customHeight="1">
      <c r="A41" s="195"/>
      <c r="B41" s="200"/>
      <c r="C41" s="197"/>
      <c r="D41" s="202" t="s">
        <v>239</v>
      </c>
      <c r="E41" s="204"/>
      <c r="F41" s="199" t="s">
        <v>159</v>
      </c>
      <c r="G41" s="199" t="s">
        <v>159</v>
      </c>
      <c r="H41" s="199" t="s">
        <v>159</v>
      </c>
      <c r="I41" s="201"/>
      <c r="J41" s="199" t="s">
        <v>159</v>
      </c>
      <c r="K41" s="199" t="s">
        <v>159</v>
      </c>
      <c r="L41" s="199" t="s">
        <v>159</v>
      </c>
      <c r="M41" s="199" t="s">
        <v>159</v>
      </c>
      <c r="N41" s="199" t="s">
        <v>159</v>
      </c>
      <c r="O41" s="199" t="s">
        <v>159</v>
      </c>
      <c r="P41" s="199" t="s">
        <v>159</v>
      </c>
      <c r="Q41" s="199" t="s">
        <v>159</v>
      </c>
      <c r="R41" s="199" t="s">
        <v>159</v>
      </c>
      <c r="S41" s="145"/>
      <c r="T41" s="145"/>
      <c r="U41" s="145"/>
      <c r="V41" s="145"/>
      <c r="W41" s="145"/>
      <c r="X41" s="145"/>
    </row>
    <row r="42" ht="13.5" customHeight="1">
      <c r="A42" s="195"/>
      <c r="B42" s="200"/>
      <c r="C42" s="197"/>
      <c r="D42" s="202" t="s">
        <v>240</v>
      </c>
      <c r="E42" s="204"/>
      <c r="F42" s="199"/>
      <c r="G42" s="199"/>
      <c r="H42" s="199"/>
      <c r="I42" s="199" t="s">
        <v>159</v>
      </c>
      <c r="J42" s="201"/>
      <c r="K42" s="201"/>
      <c r="L42" s="201"/>
      <c r="M42" s="201"/>
      <c r="N42" s="201"/>
      <c r="O42" s="201"/>
      <c r="P42" s="201"/>
      <c r="Q42" s="201"/>
      <c r="R42" s="201"/>
      <c r="S42" s="145"/>
      <c r="T42" s="145"/>
      <c r="U42" s="145"/>
      <c r="V42" s="145"/>
      <c r="W42" s="145"/>
      <c r="X42" s="145"/>
    </row>
    <row r="43" ht="13.5" customHeight="1">
      <c r="A43" s="195"/>
      <c r="B43" s="200" t="s">
        <v>241</v>
      </c>
      <c r="C43" s="197"/>
      <c r="D43" s="202"/>
      <c r="E43" s="204"/>
      <c r="F43" s="201"/>
      <c r="G43" s="199"/>
      <c r="H43" s="199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145"/>
      <c r="T43" s="145"/>
      <c r="U43" s="145"/>
      <c r="V43" s="145"/>
      <c r="W43" s="145"/>
      <c r="X43" s="145"/>
    </row>
    <row r="44" ht="13.5" customHeight="1">
      <c r="A44" s="195"/>
      <c r="B44" s="200"/>
      <c r="C44" s="197"/>
      <c r="D44" s="258" t="s">
        <v>242</v>
      </c>
      <c r="E44" s="204"/>
      <c r="F44" s="199" t="s">
        <v>159</v>
      </c>
      <c r="G44" s="199" t="s">
        <v>159</v>
      </c>
      <c r="H44" s="199" t="s">
        <v>159</v>
      </c>
      <c r="I44" s="199" t="s">
        <v>159</v>
      </c>
      <c r="J44" s="199" t="s">
        <v>159</v>
      </c>
      <c r="K44" s="201"/>
      <c r="L44" s="199" t="s">
        <v>159</v>
      </c>
      <c r="M44" s="199" t="s">
        <v>159</v>
      </c>
      <c r="N44" s="199" t="s">
        <v>159</v>
      </c>
      <c r="O44" s="199" t="s">
        <v>159</v>
      </c>
      <c r="P44" s="199" t="s">
        <v>159</v>
      </c>
      <c r="Q44" s="199" t="s">
        <v>159</v>
      </c>
      <c r="R44" s="201"/>
      <c r="S44" s="145"/>
      <c r="T44" s="145"/>
      <c r="U44" s="145"/>
      <c r="V44" s="145"/>
      <c r="W44" s="145"/>
      <c r="X44" s="145"/>
    </row>
    <row r="45" ht="13.5" customHeight="1">
      <c r="A45" s="195"/>
      <c r="B45" s="200"/>
      <c r="C45" s="197"/>
      <c r="D45" s="202" t="s">
        <v>243</v>
      </c>
      <c r="E45" s="204"/>
      <c r="F45" s="201"/>
      <c r="G45" s="199"/>
      <c r="H45" s="199"/>
      <c r="I45" s="201"/>
      <c r="J45" s="201"/>
      <c r="K45" s="199" t="s">
        <v>159</v>
      </c>
      <c r="L45" s="201"/>
      <c r="M45" s="201"/>
      <c r="N45" s="201"/>
      <c r="O45" s="201"/>
      <c r="P45" s="201"/>
      <c r="Q45" s="201"/>
      <c r="R45" s="201"/>
      <c r="S45" s="145"/>
      <c r="T45" s="145"/>
      <c r="U45" s="145"/>
      <c r="V45" s="145"/>
      <c r="W45" s="145"/>
      <c r="X45" s="145"/>
    </row>
    <row r="46" ht="13.5" customHeight="1">
      <c r="A46" s="195"/>
      <c r="B46" s="200"/>
      <c r="C46" s="197"/>
      <c r="D46" s="202" t="s">
        <v>163</v>
      </c>
      <c r="E46" s="204"/>
      <c r="F46" s="201"/>
      <c r="G46" s="199"/>
      <c r="H46" s="199"/>
      <c r="I46" s="201"/>
      <c r="J46" s="201"/>
      <c r="K46" s="199"/>
      <c r="L46" s="201"/>
      <c r="M46" s="201"/>
      <c r="N46" s="201"/>
      <c r="O46" s="201"/>
      <c r="P46" s="201"/>
      <c r="Q46" s="201"/>
      <c r="R46" s="199" t="s">
        <v>159</v>
      </c>
      <c r="S46" s="145"/>
      <c r="T46" s="145"/>
      <c r="U46" s="145"/>
      <c r="V46" s="145"/>
      <c r="W46" s="145"/>
      <c r="X46" s="145"/>
    </row>
    <row r="47" ht="13.5" customHeight="1">
      <c r="A47" s="195"/>
      <c r="B47" s="200" t="s">
        <v>244</v>
      </c>
      <c r="C47" s="197"/>
      <c r="D47" s="202"/>
      <c r="E47" s="204"/>
      <c r="F47" s="201"/>
      <c r="G47" s="199"/>
      <c r="H47" s="199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145"/>
      <c r="T47" s="145"/>
      <c r="U47" s="145"/>
      <c r="V47" s="145"/>
      <c r="W47" s="145"/>
      <c r="X47" s="145"/>
    </row>
    <row r="48" ht="13.5" customHeight="1">
      <c r="A48" s="195"/>
      <c r="B48" s="200"/>
      <c r="C48" s="197"/>
      <c r="D48" s="202" t="str">
        <f>"+84901308253"</f>
        <v>+84901308253</v>
      </c>
      <c r="E48" s="204"/>
      <c r="F48" s="199" t="s">
        <v>159</v>
      </c>
      <c r="G48" s="199" t="s">
        <v>159</v>
      </c>
      <c r="H48" s="199" t="s">
        <v>159</v>
      </c>
      <c r="I48" s="199" t="s">
        <v>159</v>
      </c>
      <c r="J48" s="201"/>
      <c r="K48" s="199" t="s">
        <v>159</v>
      </c>
      <c r="L48" s="199" t="s">
        <v>159</v>
      </c>
      <c r="M48" s="199" t="s">
        <v>159</v>
      </c>
      <c r="N48" s="199" t="s">
        <v>159</v>
      </c>
      <c r="O48" s="199" t="s">
        <v>159</v>
      </c>
      <c r="P48" s="199" t="s">
        <v>159</v>
      </c>
      <c r="Q48" s="199" t="s">
        <v>159</v>
      </c>
      <c r="R48" s="199" t="s">
        <v>159</v>
      </c>
      <c r="S48" s="145"/>
      <c r="T48" s="145"/>
      <c r="U48" s="145"/>
      <c r="V48" s="145"/>
      <c r="W48" s="145"/>
      <c r="X48" s="145"/>
    </row>
    <row r="49" ht="13.5" customHeight="1">
      <c r="A49" s="195"/>
      <c r="B49" s="196"/>
      <c r="C49" s="197"/>
      <c r="D49" s="202">
        <v>123456.0</v>
      </c>
      <c r="E49" s="204"/>
      <c r="F49" s="199"/>
      <c r="G49" s="199"/>
      <c r="H49" s="199"/>
      <c r="I49" s="199"/>
      <c r="J49" s="199" t="s">
        <v>159</v>
      </c>
      <c r="K49" s="199"/>
      <c r="L49" s="199"/>
      <c r="M49" s="199"/>
      <c r="N49" s="199"/>
      <c r="O49" s="199"/>
      <c r="P49" s="199"/>
      <c r="Q49" s="199"/>
      <c r="R49" s="199"/>
      <c r="S49" s="145"/>
      <c r="T49" s="145"/>
      <c r="U49" s="145"/>
      <c r="V49" s="145"/>
      <c r="W49" s="145"/>
      <c r="X49" s="145"/>
    </row>
    <row r="50" ht="13.5" customHeight="1">
      <c r="A50" s="207" t="s">
        <v>168</v>
      </c>
      <c r="B50" s="208" t="s">
        <v>169</v>
      </c>
      <c r="C50" s="209"/>
      <c r="D50" s="210"/>
      <c r="E50" s="211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45"/>
      <c r="T50" s="145"/>
      <c r="U50" s="145"/>
      <c r="V50" s="145"/>
      <c r="W50" s="145"/>
      <c r="X50" s="145"/>
    </row>
    <row r="51" ht="13.5" customHeight="1">
      <c r="A51" s="212"/>
      <c r="B51" s="213"/>
      <c r="C51" s="214"/>
      <c r="D51" s="215" t="s">
        <v>170</v>
      </c>
      <c r="E51" s="216"/>
      <c r="F51" s="201" t="s">
        <v>159</v>
      </c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199" t="s">
        <v>159</v>
      </c>
      <c r="S51" s="145"/>
      <c r="T51" s="145"/>
      <c r="U51" s="145"/>
      <c r="V51" s="145"/>
      <c r="W51" s="145"/>
      <c r="X51" s="145"/>
    </row>
    <row r="52" ht="13.5" customHeight="1">
      <c r="A52" s="212"/>
      <c r="B52" s="213"/>
      <c r="C52" s="217"/>
      <c r="D52" s="215" t="s">
        <v>171</v>
      </c>
      <c r="E52" s="218"/>
      <c r="F52" s="201"/>
      <c r="G52" s="199" t="s">
        <v>159</v>
      </c>
      <c r="H52" s="199" t="s">
        <v>159</v>
      </c>
      <c r="I52" s="199" t="s">
        <v>159</v>
      </c>
      <c r="J52" s="199" t="s">
        <v>159</v>
      </c>
      <c r="K52" s="199" t="s">
        <v>159</v>
      </c>
      <c r="L52" s="199" t="s">
        <v>159</v>
      </c>
      <c r="M52" s="199" t="s">
        <v>159</v>
      </c>
      <c r="N52" s="199" t="s">
        <v>159</v>
      </c>
      <c r="O52" s="199" t="s">
        <v>159</v>
      </c>
      <c r="P52" s="199" t="s">
        <v>159</v>
      </c>
      <c r="Q52" s="199" t="s">
        <v>159</v>
      </c>
      <c r="R52" s="199"/>
      <c r="S52" s="145"/>
      <c r="T52" s="145"/>
      <c r="U52" s="145"/>
      <c r="V52" s="145"/>
      <c r="W52" s="145"/>
      <c r="X52" s="145"/>
    </row>
    <row r="53" ht="13.5" customHeight="1">
      <c r="A53" s="212"/>
      <c r="B53" s="213" t="s">
        <v>172</v>
      </c>
      <c r="C53" s="217"/>
      <c r="D53" s="215"/>
      <c r="E53" s="218"/>
      <c r="F53" s="201"/>
      <c r="G53" s="199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145"/>
      <c r="T53" s="145"/>
      <c r="U53" s="145"/>
      <c r="V53" s="145"/>
      <c r="W53" s="145"/>
      <c r="X53" s="145"/>
    </row>
    <row r="54" ht="13.5" customHeight="1">
      <c r="A54" s="212"/>
      <c r="B54" s="213"/>
      <c r="C54" s="217"/>
      <c r="D54" s="219" t="s">
        <v>245</v>
      </c>
      <c r="E54" s="218"/>
      <c r="F54" s="201"/>
      <c r="G54" s="199" t="s">
        <v>159</v>
      </c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145"/>
      <c r="T54" s="145"/>
      <c r="U54" s="145"/>
      <c r="V54" s="145"/>
      <c r="W54" s="145"/>
      <c r="X54" s="145"/>
    </row>
    <row r="55" ht="13.5" customHeight="1">
      <c r="A55" s="212"/>
      <c r="B55" s="213"/>
      <c r="C55" s="217"/>
      <c r="D55" s="219" t="s">
        <v>175</v>
      </c>
      <c r="E55" s="218"/>
      <c r="F55" s="201"/>
      <c r="G55" s="199"/>
      <c r="H55" s="199" t="s">
        <v>159</v>
      </c>
      <c r="I55" s="199" t="s">
        <v>159</v>
      </c>
      <c r="J55" s="199" t="s">
        <v>159</v>
      </c>
      <c r="K55" s="199" t="s">
        <v>159</v>
      </c>
      <c r="L55" s="199" t="s">
        <v>159</v>
      </c>
      <c r="M55" s="199" t="s">
        <v>159</v>
      </c>
      <c r="N55" s="199" t="s">
        <v>159</v>
      </c>
      <c r="O55" s="199" t="s">
        <v>159</v>
      </c>
      <c r="P55" s="199" t="s">
        <v>159</v>
      </c>
      <c r="Q55" s="199" t="s">
        <v>159</v>
      </c>
      <c r="R55" s="201"/>
      <c r="S55" s="145"/>
      <c r="T55" s="145"/>
      <c r="U55" s="145"/>
      <c r="V55" s="145"/>
      <c r="W55" s="145"/>
      <c r="X55" s="145"/>
    </row>
    <row r="56" ht="13.5" customHeight="1">
      <c r="A56" s="212"/>
      <c r="B56" s="213" t="s">
        <v>176</v>
      </c>
      <c r="C56" s="217"/>
      <c r="D56" s="215"/>
      <c r="E56" s="218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145"/>
      <c r="T56" s="145"/>
      <c r="U56" s="145"/>
      <c r="V56" s="145"/>
      <c r="W56" s="145"/>
      <c r="X56" s="145"/>
    </row>
    <row r="57" ht="13.5" customHeight="1">
      <c r="A57" s="212"/>
      <c r="B57" s="213"/>
      <c r="C57" s="217"/>
      <c r="D57" s="219" t="s">
        <v>246</v>
      </c>
      <c r="E57" s="218"/>
      <c r="F57" s="199" t="s">
        <v>159</v>
      </c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199" t="s">
        <v>159</v>
      </c>
      <c r="S57" s="145"/>
      <c r="T57" s="145"/>
      <c r="U57" s="145"/>
      <c r="V57" s="145"/>
      <c r="W57" s="145"/>
      <c r="X57" s="145"/>
    </row>
    <row r="58" ht="13.5" customHeight="1">
      <c r="A58" s="247"/>
      <c r="B58" s="248" t="s">
        <v>247</v>
      </c>
      <c r="C58" s="18"/>
      <c r="D58" s="18"/>
      <c r="E58" s="249"/>
      <c r="F58" s="224"/>
      <c r="G58" s="224" t="s">
        <v>159</v>
      </c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145"/>
      <c r="T58" s="145"/>
      <c r="U58" s="145"/>
      <c r="V58" s="145"/>
      <c r="W58" s="145"/>
      <c r="X58" s="145"/>
    </row>
    <row r="59" ht="13.5" customHeight="1">
      <c r="A59" s="250"/>
      <c r="B59" s="248" t="s">
        <v>248</v>
      </c>
      <c r="C59" s="18"/>
      <c r="D59" s="18"/>
      <c r="E59" s="251"/>
      <c r="F59" s="252"/>
      <c r="G59" s="252"/>
      <c r="H59" s="252" t="s">
        <v>159</v>
      </c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145"/>
      <c r="T59" s="145"/>
      <c r="U59" s="145"/>
      <c r="V59" s="145"/>
      <c r="W59" s="145"/>
      <c r="X59" s="145"/>
    </row>
    <row r="60" ht="13.5" customHeight="1">
      <c r="A60" s="250"/>
      <c r="B60" s="248" t="s">
        <v>249</v>
      </c>
      <c r="C60" s="18"/>
      <c r="D60" s="18"/>
      <c r="E60" s="251"/>
      <c r="F60" s="252"/>
      <c r="G60" s="252"/>
      <c r="H60" s="252"/>
      <c r="I60" s="252" t="s">
        <v>159</v>
      </c>
      <c r="J60" s="253"/>
      <c r="K60" s="253"/>
      <c r="L60" s="253"/>
      <c r="M60" s="253"/>
      <c r="N60" s="253"/>
      <c r="O60" s="253"/>
      <c r="P60" s="253"/>
      <c r="Q60" s="253"/>
      <c r="R60" s="253"/>
      <c r="S60" s="145"/>
      <c r="T60" s="145"/>
      <c r="U60" s="145"/>
      <c r="V60" s="145"/>
      <c r="W60" s="145"/>
      <c r="X60" s="145"/>
    </row>
    <row r="61" ht="13.5" customHeight="1">
      <c r="A61" s="250"/>
      <c r="B61" s="248" t="s">
        <v>250</v>
      </c>
      <c r="C61" s="18"/>
      <c r="D61" s="18"/>
      <c r="E61" s="251"/>
      <c r="F61" s="252"/>
      <c r="G61" s="252"/>
      <c r="H61" s="252"/>
      <c r="I61" s="252"/>
      <c r="J61" s="252" t="s">
        <v>159</v>
      </c>
      <c r="K61" s="253"/>
      <c r="L61" s="253"/>
      <c r="M61" s="253"/>
      <c r="N61" s="253"/>
      <c r="O61" s="253"/>
      <c r="P61" s="253"/>
      <c r="Q61" s="253"/>
      <c r="R61" s="253"/>
      <c r="S61" s="145"/>
      <c r="T61" s="145"/>
      <c r="U61" s="145"/>
      <c r="V61" s="145"/>
      <c r="W61" s="145"/>
      <c r="X61" s="145"/>
    </row>
    <row r="62" ht="13.5" customHeight="1">
      <c r="A62" s="250"/>
      <c r="B62" s="248" t="s">
        <v>251</v>
      </c>
      <c r="C62" s="18"/>
      <c r="D62" s="18"/>
      <c r="E62" s="251"/>
      <c r="F62" s="252"/>
      <c r="G62" s="252"/>
      <c r="H62" s="252"/>
      <c r="I62" s="252"/>
      <c r="J62" s="252"/>
      <c r="K62" s="252" t="s">
        <v>159</v>
      </c>
      <c r="L62" s="253"/>
      <c r="M62" s="253"/>
      <c r="N62" s="253"/>
      <c r="O62" s="253"/>
      <c r="P62" s="253"/>
      <c r="Q62" s="253"/>
      <c r="R62" s="253"/>
      <c r="S62" s="145"/>
      <c r="T62" s="145"/>
      <c r="U62" s="145"/>
      <c r="V62" s="145"/>
      <c r="W62" s="145"/>
      <c r="X62" s="145"/>
    </row>
    <row r="63" ht="13.5" customHeight="1">
      <c r="A63" s="250"/>
      <c r="B63" s="248" t="s">
        <v>252</v>
      </c>
      <c r="C63" s="18"/>
      <c r="D63" s="18"/>
      <c r="E63" s="251"/>
      <c r="F63" s="252"/>
      <c r="G63" s="252"/>
      <c r="H63" s="252"/>
      <c r="I63" s="252"/>
      <c r="J63" s="252"/>
      <c r="K63" s="253"/>
      <c r="L63" s="252" t="s">
        <v>159</v>
      </c>
      <c r="M63" s="253"/>
      <c r="N63" s="253"/>
      <c r="O63" s="253"/>
      <c r="P63" s="253"/>
      <c r="Q63" s="253"/>
      <c r="R63" s="253"/>
      <c r="S63" s="145"/>
      <c r="T63" s="145"/>
      <c r="U63" s="145"/>
      <c r="V63" s="145"/>
      <c r="W63" s="145"/>
      <c r="X63" s="145"/>
    </row>
    <row r="64" ht="13.5" customHeight="1">
      <c r="A64" s="250"/>
      <c r="B64" s="259" t="s">
        <v>253</v>
      </c>
      <c r="C64" s="260"/>
      <c r="D64" s="260"/>
      <c r="E64" s="251"/>
      <c r="F64" s="252"/>
      <c r="G64" s="252"/>
      <c r="H64" s="252"/>
      <c r="I64" s="252"/>
      <c r="J64" s="252"/>
      <c r="K64" s="253"/>
      <c r="L64" s="252"/>
      <c r="M64" s="252" t="s">
        <v>159</v>
      </c>
      <c r="N64" s="253"/>
      <c r="O64" s="253"/>
      <c r="P64" s="253"/>
      <c r="Q64" s="253"/>
      <c r="R64" s="253"/>
      <c r="S64" s="145"/>
      <c r="T64" s="145"/>
      <c r="U64" s="145"/>
      <c r="V64" s="145"/>
      <c r="W64" s="145"/>
      <c r="X64" s="145"/>
    </row>
    <row r="65" ht="13.5" customHeight="1">
      <c r="A65" s="250"/>
      <c r="B65" s="259" t="s">
        <v>254</v>
      </c>
      <c r="C65" s="260"/>
      <c r="D65" s="260"/>
      <c r="E65" s="251"/>
      <c r="F65" s="252"/>
      <c r="G65" s="252"/>
      <c r="H65" s="252"/>
      <c r="I65" s="252"/>
      <c r="J65" s="252"/>
      <c r="K65" s="253"/>
      <c r="L65" s="252"/>
      <c r="M65" s="253"/>
      <c r="N65" s="252" t="s">
        <v>159</v>
      </c>
      <c r="O65" s="253"/>
      <c r="P65" s="253"/>
      <c r="Q65" s="253"/>
      <c r="R65" s="253"/>
      <c r="S65" s="145"/>
      <c r="T65" s="145"/>
      <c r="U65" s="145"/>
      <c r="V65" s="145"/>
      <c r="W65" s="145"/>
      <c r="X65" s="145"/>
    </row>
    <row r="66" ht="13.5" customHeight="1">
      <c r="A66" s="250"/>
      <c r="B66" s="259" t="s">
        <v>255</v>
      </c>
      <c r="C66" s="260"/>
      <c r="D66" s="260"/>
      <c r="E66" s="251"/>
      <c r="F66" s="252"/>
      <c r="G66" s="252"/>
      <c r="H66" s="252"/>
      <c r="I66" s="252"/>
      <c r="J66" s="252"/>
      <c r="K66" s="253"/>
      <c r="L66" s="252"/>
      <c r="M66" s="253"/>
      <c r="N66" s="253"/>
      <c r="O66" s="252" t="s">
        <v>159</v>
      </c>
      <c r="P66" s="253"/>
      <c r="Q66" s="253"/>
      <c r="R66" s="253"/>
      <c r="S66" s="145"/>
      <c r="T66" s="145"/>
      <c r="U66" s="145"/>
      <c r="V66" s="145"/>
      <c r="W66" s="145"/>
      <c r="X66" s="145"/>
    </row>
    <row r="67" ht="13.5" customHeight="1">
      <c r="A67" s="250"/>
      <c r="B67" s="259" t="s">
        <v>256</v>
      </c>
      <c r="C67" s="260"/>
      <c r="D67" s="260"/>
      <c r="E67" s="251"/>
      <c r="F67" s="252"/>
      <c r="G67" s="252"/>
      <c r="H67" s="252"/>
      <c r="I67" s="252"/>
      <c r="J67" s="252"/>
      <c r="K67" s="253"/>
      <c r="L67" s="252"/>
      <c r="M67" s="253"/>
      <c r="N67" s="253"/>
      <c r="O67" s="253"/>
      <c r="P67" s="252" t="s">
        <v>159</v>
      </c>
      <c r="Q67" s="253"/>
      <c r="R67" s="253"/>
      <c r="S67" s="145"/>
      <c r="T67" s="145"/>
      <c r="U67" s="145"/>
      <c r="V67" s="145"/>
      <c r="W67" s="145"/>
      <c r="X67" s="145"/>
    </row>
    <row r="68" ht="18.0" customHeight="1">
      <c r="A68" s="250"/>
      <c r="B68" s="254" t="s">
        <v>257</v>
      </c>
      <c r="C68" s="241"/>
      <c r="D68" s="241"/>
      <c r="E68" s="251"/>
      <c r="F68" s="252"/>
      <c r="G68" s="252"/>
      <c r="H68" s="252"/>
      <c r="I68" s="252"/>
      <c r="J68" s="252"/>
      <c r="K68" s="253"/>
      <c r="L68" s="252"/>
      <c r="M68" s="252"/>
      <c r="N68" s="252"/>
      <c r="O68" s="252"/>
      <c r="P68" s="252"/>
      <c r="Q68" s="252" t="s">
        <v>159</v>
      </c>
      <c r="R68" s="252"/>
      <c r="S68" s="145"/>
      <c r="T68" s="145"/>
      <c r="U68" s="145"/>
      <c r="V68" s="145"/>
      <c r="W68" s="145"/>
      <c r="X68" s="145"/>
    </row>
    <row r="69" ht="13.5" customHeight="1">
      <c r="A69" s="207" t="s">
        <v>184</v>
      </c>
      <c r="B69" s="255" t="s">
        <v>185</v>
      </c>
      <c r="C69" s="256"/>
      <c r="D69" s="257"/>
      <c r="E69" s="229"/>
      <c r="F69" s="230" t="s">
        <v>83</v>
      </c>
      <c r="G69" s="230" t="s">
        <v>65</v>
      </c>
      <c r="H69" s="230" t="s">
        <v>84</v>
      </c>
      <c r="I69" s="230" t="s">
        <v>65</v>
      </c>
      <c r="J69" s="230" t="s">
        <v>65</v>
      </c>
      <c r="K69" s="230" t="s">
        <v>65</v>
      </c>
      <c r="L69" s="230" t="s">
        <v>84</v>
      </c>
      <c r="M69" s="230" t="s">
        <v>84</v>
      </c>
      <c r="N69" s="230" t="s">
        <v>84</v>
      </c>
      <c r="O69" s="230" t="s">
        <v>84</v>
      </c>
      <c r="P69" s="230" t="s">
        <v>84</v>
      </c>
      <c r="Q69" s="230" t="s">
        <v>84</v>
      </c>
      <c r="R69" s="230" t="s">
        <v>83</v>
      </c>
      <c r="S69" s="145"/>
      <c r="T69" s="145"/>
      <c r="U69" s="145"/>
      <c r="V69" s="145"/>
      <c r="W69" s="145"/>
      <c r="X69" s="145"/>
    </row>
    <row r="70" ht="13.5" customHeight="1">
      <c r="A70" s="212"/>
      <c r="B70" s="232" t="s">
        <v>186</v>
      </c>
      <c r="C70" s="18"/>
      <c r="D70" s="19"/>
      <c r="E70" s="233"/>
      <c r="F70" s="234" t="s">
        <v>187</v>
      </c>
      <c r="G70" s="234" t="s">
        <v>187</v>
      </c>
      <c r="H70" s="234" t="s">
        <v>187</v>
      </c>
      <c r="I70" s="234" t="s">
        <v>187</v>
      </c>
      <c r="J70" s="234" t="s">
        <v>187</v>
      </c>
      <c r="K70" s="235" t="s">
        <v>187</v>
      </c>
      <c r="L70" s="235" t="s">
        <v>187</v>
      </c>
      <c r="M70" s="235" t="s">
        <v>187</v>
      </c>
      <c r="N70" s="235" t="s">
        <v>187</v>
      </c>
      <c r="O70" s="235" t="s">
        <v>187</v>
      </c>
      <c r="P70" s="235" t="s">
        <v>187</v>
      </c>
      <c r="Q70" s="235" t="s">
        <v>187</v>
      </c>
      <c r="R70" s="235" t="s">
        <v>187</v>
      </c>
      <c r="S70" s="145"/>
      <c r="T70" s="145"/>
      <c r="U70" s="145"/>
      <c r="V70" s="145"/>
      <c r="W70" s="145"/>
      <c r="X70" s="145"/>
    </row>
    <row r="71" ht="13.5" customHeight="1">
      <c r="A71" s="212"/>
      <c r="B71" s="236" t="s">
        <v>188</v>
      </c>
      <c r="C71" s="18"/>
      <c r="D71" s="19"/>
      <c r="E71" s="237"/>
      <c r="F71" s="238">
        <v>45963.0</v>
      </c>
      <c r="G71" s="238">
        <v>45963.0</v>
      </c>
      <c r="H71" s="238">
        <v>45963.0</v>
      </c>
      <c r="I71" s="238">
        <v>45963.0</v>
      </c>
      <c r="J71" s="238">
        <v>45963.0</v>
      </c>
      <c r="K71" s="238">
        <v>45963.0</v>
      </c>
      <c r="L71" s="238">
        <v>45963.0</v>
      </c>
      <c r="M71" s="238">
        <v>45963.0</v>
      </c>
      <c r="N71" s="238">
        <v>45963.0</v>
      </c>
      <c r="O71" s="238">
        <v>45963.0</v>
      </c>
      <c r="P71" s="238">
        <v>45963.0</v>
      </c>
      <c r="Q71" s="238">
        <v>45963.0</v>
      </c>
      <c r="R71" s="238">
        <v>45963.0</v>
      </c>
      <c r="S71" s="145"/>
      <c r="T71" s="145"/>
      <c r="U71" s="145"/>
      <c r="V71" s="145"/>
      <c r="W71" s="145"/>
      <c r="X71" s="145"/>
    </row>
    <row r="72" ht="79.5" customHeight="1">
      <c r="A72" s="239"/>
      <c r="B72" s="240" t="s">
        <v>189</v>
      </c>
      <c r="C72" s="241"/>
      <c r="D72" s="242"/>
      <c r="E72" s="243"/>
      <c r="F72" s="244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145"/>
      <c r="T72" s="145"/>
      <c r="U72" s="145"/>
      <c r="V72" s="145"/>
      <c r="W72" s="145"/>
      <c r="X72" s="145"/>
    </row>
    <row r="73" ht="12.0" customHeight="1">
      <c r="A73" s="2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</row>
    <row r="1002" ht="13.5" customHeight="1">
      <c r="A1002" s="145"/>
      <c r="B1002" s="182"/>
      <c r="C1002" s="145"/>
      <c r="D1002" s="146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</row>
    <row r="1003" ht="13.5" customHeight="1">
      <c r="A1003" s="145"/>
      <c r="B1003" s="182"/>
      <c r="C1003" s="145"/>
      <c r="D1003" s="146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</row>
    <row r="1004" ht="13.5" customHeight="1">
      <c r="A1004" s="145"/>
      <c r="B1004" s="182"/>
      <c r="C1004" s="145"/>
      <c r="D1004" s="146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</row>
    <row r="1005" ht="13.5" customHeight="1">
      <c r="A1005" s="145"/>
      <c r="B1005" s="182"/>
      <c r="C1005" s="145"/>
      <c r="D1005" s="146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</row>
    <row r="1006" ht="13.5" customHeight="1">
      <c r="A1006" s="145"/>
      <c r="B1006" s="182"/>
      <c r="C1006" s="145"/>
      <c r="D1006" s="146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</row>
    <row r="1007" ht="13.5" customHeight="1">
      <c r="A1007" s="145"/>
      <c r="B1007" s="182"/>
      <c r="C1007" s="145"/>
      <c r="D1007" s="146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  <c r="AA1007" s="145"/>
    </row>
    <row r="1008" ht="13.5" customHeight="1">
      <c r="A1008" s="145"/>
      <c r="B1008" s="182"/>
      <c r="C1008" s="145"/>
      <c r="D1008" s="146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  <c r="W1008" s="145"/>
      <c r="X1008" s="145"/>
      <c r="Y1008" s="145"/>
      <c r="Z1008" s="145"/>
      <c r="AA1008" s="145"/>
    </row>
    <row r="1009" ht="13.5" customHeight="1">
      <c r="A1009" s="145"/>
      <c r="B1009" s="182"/>
      <c r="C1009" s="145"/>
      <c r="D1009" s="146"/>
      <c r="E1009" s="145"/>
      <c r="F1009" s="145"/>
      <c r="G1009" s="145"/>
      <c r="H1009" s="145"/>
      <c r="I1009" s="145"/>
      <c r="J1009" s="145"/>
      <c r="K1009" s="145"/>
      <c r="L1009" s="145"/>
      <c r="M1009" s="145"/>
      <c r="N1009" s="145"/>
      <c r="O1009" s="145"/>
      <c r="P1009" s="145"/>
      <c r="Q1009" s="145"/>
      <c r="R1009" s="145"/>
      <c r="S1009" s="145"/>
      <c r="T1009" s="145"/>
      <c r="U1009" s="145"/>
      <c r="V1009" s="145"/>
      <c r="W1009" s="145"/>
      <c r="X1009" s="145"/>
      <c r="Y1009" s="145"/>
      <c r="Z1009" s="145"/>
      <c r="AA1009" s="145"/>
    </row>
    <row r="1010" ht="13.5" customHeight="1">
      <c r="A1010" s="145"/>
      <c r="B1010" s="182"/>
      <c r="C1010" s="145"/>
      <c r="D1010" s="146"/>
      <c r="E1010" s="145"/>
      <c r="F1010" s="145"/>
      <c r="G1010" s="145"/>
      <c r="H1010" s="145"/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5"/>
      <c r="S1010" s="145"/>
      <c r="T1010" s="145"/>
      <c r="U1010" s="145"/>
      <c r="V1010" s="145"/>
      <c r="W1010" s="145"/>
      <c r="X1010" s="145"/>
      <c r="Y1010" s="145"/>
      <c r="Z1010" s="145"/>
      <c r="AA1010" s="145"/>
    </row>
    <row r="1011" ht="13.5" customHeight="1">
      <c r="A1011" s="145"/>
      <c r="B1011" s="182"/>
      <c r="C1011" s="145"/>
      <c r="D1011" s="146"/>
      <c r="E1011" s="145"/>
      <c r="F1011" s="145"/>
      <c r="G1011" s="145"/>
      <c r="H1011" s="145"/>
      <c r="I1011" s="145"/>
      <c r="J1011" s="145"/>
      <c r="K1011" s="145"/>
      <c r="L1011" s="145"/>
      <c r="M1011" s="145"/>
      <c r="N1011" s="145"/>
      <c r="O1011" s="145"/>
      <c r="P1011" s="145"/>
      <c r="Q1011" s="145"/>
      <c r="R1011" s="145"/>
      <c r="S1011" s="145"/>
      <c r="T1011" s="145"/>
      <c r="U1011" s="145"/>
      <c r="V1011" s="145"/>
      <c r="W1011" s="145"/>
      <c r="X1011" s="145"/>
      <c r="Y1011" s="145"/>
      <c r="Z1011" s="145"/>
      <c r="AA1011" s="145"/>
    </row>
    <row r="1012" ht="13.5" customHeight="1">
      <c r="A1012" s="145"/>
      <c r="B1012" s="182"/>
      <c r="C1012" s="145"/>
      <c r="D1012" s="146"/>
      <c r="E1012" s="145"/>
      <c r="F1012" s="145"/>
      <c r="G1012" s="145"/>
      <c r="H1012" s="145"/>
      <c r="I1012" s="145"/>
      <c r="J1012" s="145"/>
      <c r="K1012" s="145"/>
      <c r="L1012" s="145"/>
      <c r="M1012" s="145"/>
      <c r="N1012" s="145"/>
      <c r="O1012" s="145"/>
      <c r="P1012" s="145"/>
      <c r="Q1012" s="145"/>
      <c r="R1012" s="145"/>
      <c r="S1012" s="145"/>
      <c r="T1012" s="145"/>
      <c r="U1012" s="145"/>
      <c r="V1012" s="145"/>
      <c r="W1012" s="145"/>
      <c r="X1012" s="145"/>
      <c r="Y1012" s="145"/>
      <c r="Z1012" s="145"/>
      <c r="AA1012" s="145"/>
    </row>
    <row r="1013" ht="13.5" customHeight="1">
      <c r="A1013" s="145"/>
      <c r="B1013" s="182"/>
      <c r="C1013" s="145"/>
      <c r="D1013" s="146"/>
      <c r="E1013" s="145"/>
      <c r="F1013" s="145"/>
      <c r="G1013" s="145"/>
      <c r="H1013" s="145"/>
      <c r="I1013" s="145"/>
      <c r="J1013" s="145"/>
      <c r="K1013" s="145"/>
      <c r="L1013" s="145"/>
      <c r="M1013" s="145"/>
      <c r="N1013" s="145"/>
      <c r="O1013" s="145"/>
      <c r="P1013" s="145"/>
      <c r="Q1013" s="145"/>
      <c r="R1013" s="145"/>
      <c r="S1013" s="145"/>
      <c r="T1013" s="145"/>
      <c r="U1013" s="145"/>
      <c r="V1013" s="145"/>
      <c r="W1013" s="145"/>
      <c r="X1013" s="145"/>
      <c r="Y1013" s="145"/>
      <c r="Z1013" s="145"/>
      <c r="AA1013" s="145"/>
    </row>
    <row r="1014" ht="13.5" customHeight="1">
      <c r="A1014" s="145"/>
      <c r="B1014" s="182"/>
      <c r="C1014" s="145"/>
      <c r="D1014" s="146"/>
      <c r="E1014" s="145"/>
      <c r="F1014" s="145"/>
      <c r="G1014" s="145"/>
      <c r="H1014" s="145"/>
      <c r="I1014" s="145"/>
      <c r="J1014" s="145"/>
      <c r="K1014" s="145"/>
      <c r="L1014" s="145"/>
      <c r="M1014" s="145"/>
      <c r="N1014" s="145"/>
      <c r="O1014" s="145"/>
      <c r="P1014" s="145"/>
      <c r="Q1014" s="145"/>
      <c r="R1014" s="145"/>
      <c r="S1014" s="145"/>
      <c r="T1014" s="145"/>
      <c r="U1014" s="145"/>
      <c r="V1014" s="145"/>
      <c r="W1014" s="145"/>
      <c r="X1014" s="145"/>
      <c r="Y1014" s="145"/>
      <c r="Z1014" s="145"/>
      <c r="AA1014" s="145"/>
    </row>
    <row r="1015" ht="13.5" customHeight="1">
      <c r="A1015" s="145"/>
      <c r="B1015" s="182"/>
      <c r="C1015" s="145"/>
      <c r="D1015" s="146"/>
      <c r="E1015" s="145"/>
      <c r="F1015" s="145"/>
      <c r="G1015" s="145"/>
      <c r="H1015" s="145"/>
      <c r="I1015" s="145"/>
      <c r="J1015" s="145"/>
      <c r="K1015" s="145"/>
      <c r="L1015" s="145"/>
      <c r="M1015" s="145"/>
      <c r="N1015" s="145"/>
      <c r="O1015" s="145"/>
      <c r="P1015" s="145"/>
      <c r="Q1015" s="145"/>
      <c r="R1015" s="145"/>
      <c r="S1015" s="145"/>
      <c r="T1015" s="145"/>
      <c r="U1015" s="145"/>
      <c r="V1015" s="145"/>
      <c r="W1015" s="145"/>
      <c r="X1015" s="145"/>
      <c r="Y1015" s="145"/>
      <c r="Z1015" s="145"/>
      <c r="AA1015" s="145"/>
    </row>
    <row r="1016" ht="13.5" customHeight="1">
      <c r="A1016" s="145"/>
      <c r="B1016" s="182"/>
      <c r="C1016" s="145"/>
      <c r="D1016" s="146"/>
      <c r="E1016" s="145"/>
      <c r="F1016" s="145"/>
      <c r="G1016" s="145"/>
      <c r="H1016" s="145"/>
      <c r="I1016" s="145"/>
      <c r="J1016" s="145"/>
      <c r="K1016" s="145"/>
      <c r="L1016" s="145"/>
      <c r="M1016" s="145"/>
      <c r="N1016" s="145"/>
      <c r="O1016" s="145"/>
      <c r="P1016" s="145"/>
      <c r="Q1016" s="145"/>
      <c r="R1016" s="145"/>
      <c r="S1016" s="145"/>
      <c r="T1016" s="145"/>
      <c r="U1016" s="145"/>
      <c r="V1016" s="145"/>
      <c r="W1016" s="145"/>
      <c r="X1016" s="145"/>
      <c r="Y1016" s="145"/>
      <c r="Z1016" s="145"/>
      <c r="AA1016" s="145"/>
    </row>
    <row r="1017" ht="13.5" customHeight="1">
      <c r="A1017" s="145"/>
      <c r="B1017" s="182"/>
      <c r="C1017" s="145"/>
      <c r="D1017" s="146"/>
      <c r="E1017" s="145"/>
      <c r="F1017" s="145"/>
      <c r="G1017" s="145"/>
      <c r="H1017" s="145"/>
      <c r="I1017" s="145"/>
      <c r="J1017" s="145"/>
      <c r="K1017" s="145"/>
      <c r="L1017" s="145"/>
      <c r="M1017" s="145"/>
      <c r="N1017" s="145"/>
      <c r="O1017" s="145"/>
      <c r="P1017" s="145"/>
      <c r="Q1017" s="145"/>
      <c r="R1017" s="145"/>
      <c r="S1017" s="145"/>
      <c r="T1017" s="145"/>
      <c r="U1017" s="145"/>
      <c r="V1017" s="145"/>
      <c r="W1017" s="145"/>
      <c r="X1017" s="145"/>
      <c r="Y1017" s="145"/>
      <c r="Z1017" s="145"/>
      <c r="AA1017" s="145"/>
    </row>
    <row r="1018" ht="13.5" customHeight="1">
      <c r="A1018" s="145"/>
      <c r="B1018" s="182"/>
      <c r="C1018" s="145"/>
      <c r="D1018" s="146"/>
      <c r="E1018" s="145"/>
      <c r="F1018" s="145"/>
      <c r="G1018" s="145"/>
      <c r="H1018" s="145"/>
      <c r="I1018" s="145"/>
      <c r="J1018" s="145"/>
      <c r="K1018" s="145"/>
      <c r="L1018" s="145"/>
      <c r="M1018" s="145"/>
      <c r="N1018" s="145"/>
      <c r="O1018" s="145"/>
      <c r="P1018" s="145"/>
      <c r="Q1018" s="145"/>
      <c r="R1018" s="145"/>
      <c r="S1018" s="145"/>
      <c r="T1018" s="145"/>
      <c r="U1018" s="145"/>
      <c r="V1018" s="145"/>
      <c r="W1018" s="145"/>
      <c r="X1018" s="145"/>
      <c r="Y1018" s="145"/>
      <c r="Z1018" s="145"/>
      <c r="AA1018" s="145"/>
    </row>
    <row r="1019" ht="13.5" customHeight="1">
      <c r="A1019" s="145"/>
      <c r="B1019" s="182"/>
      <c r="C1019" s="145"/>
      <c r="D1019" s="146"/>
      <c r="E1019" s="145"/>
      <c r="F1019" s="145"/>
      <c r="G1019" s="145"/>
      <c r="H1019" s="145"/>
      <c r="I1019" s="145"/>
      <c r="J1019" s="145"/>
      <c r="K1019" s="145"/>
      <c r="L1019" s="145"/>
      <c r="M1019" s="145"/>
      <c r="N1019" s="145"/>
      <c r="O1019" s="145"/>
      <c r="P1019" s="145"/>
      <c r="Q1019" s="145"/>
      <c r="R1019" s="145"/>
      <c r="S1019" s="145"/>
      <c r="T1019" s="145"/>
      <c r="U1019" s="145"/>
      <c r="V1019" s="145"/>
      <c r="W1019" s="145"/>
      <c r="X1019" s="145"/>
      <c r="Y1019" s="145"/>
      <c r="Z1019" s="145"/>
      <c r="AA1019" s="145"/>
    </row>
    <row r="1020" ht="13.5" customHeight="1">
      <c r="A1020" s="145"/>
      <c r="B1020" s="182"/>
      <c r="C1020" s="145"/>
      <c r="D1020" s="146"/>
      <c r="E1020" s="145"/>
      <c r="F1020" s="145"/>
      <c r="G1020" s="145"/>
      <c r="H1020" s="145"/>
      <c r="I1020" s="145"/>
      <c r="J1020" s="145"/>
      <c r="K1020" s="145"/>
      <c r="L1020" s="145"/>
      <c r="M1020" s="145"/>
      <c r="N1020" s="145"/>
      <c r="O1020" s="145"/>
      <c r="P1020" s="145"/>
      <c r="Q1020" s="145"/>
      <c r="R1020" s="145"/>
      <c r="S1020" s="145"/>
      <c r="T1020" s="145"/>
      <c r="U1020" s="145"/>
      <c r="V1020" s="145"/>
      <c r="W1020" s="145"/>
      <c r="X1020" s="145"/>
      <c r="Y1020" s="145"/>
      <c r="Z1020" s="145"/>
      <c r="AA1020" s="145"/>
    </row>
    <row r="1021" ht="13.5" customHeight="1">
      <c r="A1021" s="145"/>
      <c r="B1021" s="182"/>
      <c r="C1021" s="145"/>
      <c r="D1021" s="146"/>
      <c r="E1021" s="145"/>
      <c r="F1021" s="145"/>
      <c r="G1021" s="145"/>
      <c r="H1021" s="145"/>
      <c r="I1021" s="145"/>
      <c r="J1021" s="145"/>
      <c r="K1021" s="145"/>
      <c r="L1021" s="145"/>
      <c r="M1021" s="145"/>
      <c r="N1021" s="145"/>
      <c r="O1021" s="145"/>
      <c r="P1021" s="145"/>
      <c r="Q1021" s="145"/>
      <c r="R1021" s="145"/>
      <c r="S1021" s="145"/>
      <c r="T1021" s="145"/>
      <c r="U1021" s="145"/>
      <c r="V1021" s="145"/>
      <c r="W1021" s="145"/>
      <c r="X1021" s="145"/>
      <c r="Y1021" s="145"/>
      <c r="Z1021" s="145"/>
      <c r="AA1021" s="145"/>
    </row>
    <row r="1022" ht="13.5" customHeight="1">
      <c r="A1022" s="145"/>
      <c r="B1022" s="182"/>
      <c r="C1022" s="145"/>
      <c r="D1022" s="146"/>
      <c r="E1022" s="145"/>
      <c r="F1022" s="145"/>
      <c r="G1022" s="145"/>
      <c r="H1022" s="145"/>
      <c r="I1022" s="145"/>
      <c r="J1022" s="145"/>
      <c r="K1022" s="145"/>
      <c r="L1022" s="145"/>
      <c r="M1022" s="145"/>
      <c r="N1022" s="145"/>
      <c r="O1022" s="145"/>
      <c r="P1022" s="145"/>
      <c r="Q1022" s="145"/>
      <c r="R1022" s="145"/>
      <c r="S1022" s="145"/>
      <c r="T1022" s="145"/>
      <c r="U1022" s="145"/>
      <c r="V1022" s="145"/>
      <c r="W1022" s="145"/>
      <c r="X1022" s="145"/>
      <c r="Y1022" s="145"/>
      <c r="Z1022" s="145"/>
      <c r="AA1022" s="145"/>
    </row>
    <row r="1023" ht="13.5" customHeight="1">
      <c r="A1023" s="145"/>
      <c r="B1023" s="182"/>
      <c r="C1023" s="145"/>
      <c r="D1023" s="146"/>
      <c r="E1023" s="145"/>
      <c r="F1023" s="145"/>
      <c r="G1023" s="145"/>
      <c r="H1023" s="145"/>
      <c r="I1023" s="145"/>
      <c r="J1023" s="145"/>
      <c r="K1023" s="145"/>
      <c r="L1023" s="145"/>
      <c r="M1023" s="145"/>
      <c r="N1023" s="145"/>
      <c r="O1023" s="145"/>
      <c r="P1023" s="145"/>
      <c r="Q1023" s="145"/>
      <c r="R1023" s="145"/>
      <c r="S1023" s="145"/>
      <c r="T1023" s="145"/>
      <c r="U1023" s="145"/>
      <c r="V1023" s="145"/>
      <c r="W1023" s="145"/>
      <c r="X1023" s="145"/>
      <c r="Y1023" s="145"/>
      <c r="Z1023" s="145"/>
      <c r="AA1023" s="145"/>
    </row>
    <row r="1024" ht="13.5" customHeight="1">
      <c r="A1024" s="145"/>
      <c r="B1024" s="182"/>
      <c r="C1024" s="145"/>
      <c r="D1024" s="146"/>
      <c r="E1024" s="145"/>
      <c r="F1024" s="145"/>
      <c r="G1024" s="145"/>
      <c r="H1024" s="145"/>
      <c r="I1024" s="145"/>
      <c r="J1024" s="145"/>
      <c r="K1024" s="145"/>
      <c r="L1024" s="145"/>
      <c r="M1024" s="145"/>
      <c r="N1024" s="145"/>
      <c r="O1024" s="145"/>
      <c r="P1024" s="145"/>
      <c r="Q1024" s="145"/>
      <c r="R1024" s="145"/>
      <c r="S1024" s="145"/>
      <c r="T1024" s="145"/>
      <c r="U1024" s="145"/>
      <c r="V1024" s="145"/>
      <c r="W1024" s="145"/>
      <c r="X1024" s="145"/>
      <c r="Y1024" s="145"/>
      <c r="Z1024" s="145"/>
      <c r="AA1024" s="145"/>
    </row>
    <row r="1025" ht="13.5" customHeight="1">
      <c r="A1025" s="145"/>
      <c r="B1025" s="182"/>
      <c r="C1025" s="145"/>
      <c r="D1025" s="146"/>
      <c r="E1025" s="145"/>
      <c r="F1025" s="145"/>
      <c r="G1025" s="145"/>
      <c r="H1025" s="145"/>
      <c r="I1025" s="145"/>
      <c r="J1025" s="145"/>
      <c r="K1025" s="145"/>
      <c r="L1025" s="145"/>
      <c r="M1025" s="145"/>
      <c r="N1025" s="145"/>
      <c r="O1025" s="145"/>
      <c r="P1025" s="145"/>
      <c r="Q1025" s="145"/>
      <c r="R1025" s="145"/>
      <c r="S1025" s="145"/>
      <c r="T1025" s="145"/>
      <c r="U1025" s="145"/>
      <c r="V1025" s="145"/>
      <c r="W1025" s="145"/>
      <c r="X1025" s="145"/>
      <c r="Y1025" s="145"/>
      <c r="Z1025" s="145"/>
      <c r="AA1025" s="145"/>
    </row>
    <row r="1026" ht="13.5" customHeight="1">
      <c r="A1026" s="145"/>
      <c r="B1026" s="182"/>
      <c r="C1026" s="145"/>
      <c r="D1026" s="146"/>
      <c r="E1026" s="145"/>
      <c r="F1026" s="145"/>
      <c r="G1026" s="145"/>
      <c r="H1026" s="145"/>
      <c r="I1026" s="145"/>
      <c r="J1026" s="145"/>
      <c r="K1026" s="145"/>
      <c r="L1026" s="145"/>
      <c r="M1026" s="145"/>
      <c r="N1026" s="145"/>
      <c r="O1026" s="145"/>
      <c r="P1026" s="145"/>
      <c r="Q1026" s="145"/>
      <c r="R1026" s="145"/>
      <c r="S1026" s="145"/>
      <c r="T1026" s="145"/>
      <c r="U1026" s="145"/>
      <c r="V1026" s="145"/>
      <c r="W1026" s="145"/>
      <c r="X1026" s="145"/>
      <c r="Y1026" s="145"/>
      <c r="Z1026" s="145"/>
      <c r="AA1026" s="145"/>
    </row>
    <row r="1027" ht="13.5" customHeight="1">
      <c r="A1027" s="145"/>
      <c r="B1027" s="182"/>
      <c r="C1027" s="145"/>
      <c r="D1027" s="146"/>
      <c r="E1027" s="145"/>
      <c r="F1027" s="145"/>
      <c r="G1027" s="145"/>
      <c r="H1027" s="145"/>
      <c r="I1027" s="145"/>
      <c r="J1027" s="145"/>
      <c r="K1027" s="145"/>
      <c r="L1027" s="145"/>
      <c r="M1027" s="145"/>
      <c r="N1027" s="145"/>
      <c r="O1027" s="145"/>
      <c r="P1027" s="145"/>
      <c r="Q1027" s="145"/>
      <c r="R1027" s="145"/>
      <c r="S1027" s="145"/>
      <c r="T1027" s="145"/>
      <c r="U1027" s="145"/>
      <c r="V1027" s="145"/>
      <c r="W1027" s="145"/>
      <c r="X1027" s="145"/>
      <c r="Y1027" s="145"/>
      <c r="Z1027" s="145"/>
      <c r="AA1027" s="145"/>
    </row>
    <row r="1028" ht="13.5" customHeight="1">
      <c r="A1028" s="145"/>
      <c r="B1028" s="182"/>
      <c r="C1028" s="145"/>
      <c r="D1028" s="146"/>
      <c r="E1028" s="145"/>
      <c r="F1028" s="145"/>
      <c r="G1028" s="145"/>
      <c r="H1028" s="145"/>
      <c r="I1028" s="145"/>
      <c r="J1028" s="145"/>
      <c r="K1028" s="145"/>
      <c r="L1028" s="145"/>
      <c r="M1028" s="145"/>
      <c r="N1028" s="145"/>
      <c r="O1028" s="145"/>
      <c r="P1028" s="145"/>
      <c r="Q1028" s="145"/>
      <c r="R1028" s="145"/>
      <c r="S1028" s="145"/>
      <c r="T1028" s="145"/>
      <c r="U1028" s="145"/>
      <c r="V1028" s="145"/>
      <c r="W1028" s="145"/>
      <c r="X1028" s="145"/>
      <c r="Y1028" s="145"/>
      <c r="Z1028" s="145"/>
      <c r="AA1028" s="145"/>
    </row>
    <row r="1029" ht="13.5" customHeight="1">
      <c r="A1029" s="145"/>
      <c r="B1029" s="182"/>
      <c r="C1029" s="145"/>
      <c r="D1029" s="146"/>
      <c r="E1029" s="145"/>
      <c r="F1029" s="145"/>
      <c r="G1029" s="145"/>
      <c r="H1029" s="145"/>
      <c r="I1029" s="145"/>
      <c r="J1029" s="145"/>
      <c r="K1029" s="145"/>
      <c r="L1029" s="145"/>
      <c r="M1029" s="145"/>
      <c r="N1029" s="145"/>
      <c r="O1029" s="145"/>
      <c r="P1029" s="145"/>
      <c r="Q1029" s="145"/>
      <c r="R1029" s="145"/>
      <c r="S1029" s="145"/>
      <c r="T1029" s="145"/>
      <c r="U1029" s="145"/>
      <c r="V1029" s="145"/>
      <c r="W1029" s="145"/>
      <c r="X1029" s="145"/>
      <c r="Y1029" s="145"/>
      <c r="Z1029" s="145"/>
      <c r="AA1029" s="145"/>
    </row>
    <row r="1030" ht="13.5" customHeight="1">
      <c r="A1030" s="145"/>
      <c r="B1030" s="182"/>
      <c r="C1030" s="145"/>
      <c r="D1030" s="146"/>
      <c r="E1030" s="145"/>
      <c r="F1030" s="145"/>
      <c r="G1030" s="145"/>
      <c r="H1030" s="145"/>
      <c r="I1030" s="145"/>
      <c r="J1030" s="145"/>
      <c r="K1030" s="145"/>
      <c r="L1030" s="145"/>
      <c r="M1030" s="145"/>
      <c r="N1030" s="145"/>
      <c r="O1030" s="145"/>
      <c r="P1030" s="145"/>
      <c r="Q1030" s="145"/>
      <c r="R1030" s="145"/>
      <c r="S1030" s="145"/>
      <c r="T1030" s="145"/>
      <c r="U1030" s="145"/>
      <c r="V1030" s="145"/>
      <c r="W1030" s="145"/>
      <c r="X1030" s="145"/>
      <c r="Y1030" s="145"/>
      <c r="Z1030" s="145"/>
      <c r="AA1030" s="145"/>
    </row>
  </sheetData>
  <mergeCells count="3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65:D65"/>
    <mergeCell ref="B66:D66"/>
    <mergeCell ref="B67:D67"/>
    <mergeCell ref="B68:D68"/>
    <mergeCell ref="B69:D69"/>
    <mergeCell ref="B70:D70"/>
    <mergeCell ref="B71:D71"/>
    <mergeCell ref="B72:D72"/>
    <mergeCell ref="B58:D58"/>
    <mergeCell ref="B59:D59"/>
    <mergeCell ref="B60:D60"/>
    <mergeCell ref="B61:D61"/>
    <mergeCell ref="B62:D62"/>
    <mergeCell ref="B63:D63"/>
    <mergeCell ref="B64:D64"/>
  </mergeCells>
  <dataValidations>
    <dataValidation type="list" allowBlank="1" showInputMessage="1" showErrorMessage="1" prompt=" - " sqref="F10:R68">
      <formula1>"O"</formula1>
    </dataValidation>
    <dataValidation type="list" allowBlank="1" showInputMessage="1" showErrorMessage="1" prompt=" - " sqref="F69:R69">
      <formula1>"N,A,B"</formula1>
    </dataValidation>
    <dataValidation type="list" allowBlank="1" showInputMessage="1" showErrorMessage="1" prompt=" - " sqref="F70:R70">
      <formula1>"P,F"</formula1>
    </dataValidation>
  </dataValidations>
  <hyperlinks>
    <hyperlink r:id="rId1" ref="D44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2" width="5.25"/>
    <col customWidth="1" min="13" max="13" width="4.13"/>
    <col customWidth="1" min="14" max="15" width="4.25"/>
    <col customWidth="1" min="16" max="16" width="3.88"/>
    <col customWidth="1" min="17" max="18" width="4.5"/>
    <col customWidth="1" min="19" max="20" width="4.38"/>
    <col customWidth="1" min="21" max="21" width="4.63"/>
    <col customWidth="1" min="22" max="22" width="6.75"/>
    <col customWidth="1" min="23" max="23" width="9.0"/>
    <col customWidth="1" min="24" max="30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</row>
    <row r="2" ht="13.5" customHeight="1">
      <c r="A2" s="147" t="s">
        <v>141</v>
      </c>
      <c r="B2" s="148"/>
      <c r="C2" s="149" t="str">
        <f>Functions!E15</f>
        <v>CC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Functions!D15</f>
        <v>createCampaign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  <c r="AA2" s="145"/>
      <c r="AB2" s="145"/>
      <c r="AC2" s="145"/>
      <c r="AD2" s="145"/>
    </row>
    <row r="3" ht="13.5" customHeight="1">
      <c r="A3" s="158" t="s">
        <v>142</v>
      </c>
      <c r="B3" s="19"/>
      <c r="C3" s="159" t="s">
        <v>258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258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  <c r="AA3" s="145"/>
      <c r="AB3" s="145"/>
      <c r="AC3" s="145"/>
      <c r="AD3" s="145"/>
    </row>
    <row r="4" ht="13.5" customHeight="1">
      <c r="A4" s="158" t="s">
        <v>144</v>
      </c>
      <c r="B4" s="19"/>
      <c r="C4" s="261">
        <v>180.0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-1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  <c r="AA4" s="145"/>
      <c r="AB4" s="145"/>
      <c r="AC4" s="145"/>
      <c r="AD4" s="145"/>
    </row>
    <row r="5" ht="13.5" customHeight="1">
      <c r="A5" s="158" t="s">
        <v>146</v>
      </c>
      <c r="B5" s="19"/>
      <c r="C5" s="17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  <c r="AA5" s="145"/>
      <c r="AB5" s="145"/>
      <c r="AC5" s="145"/>
      <c r="AD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  <c r="AA6" s="145"/>
      <c r="AB6" s="145"/>
      <c r="AC6" s="145"/>
      <c r="AD6" s="145"/>
    </row>
    <row r="7" ht="13.5" customHeight="1">
      <c r="A7" s="175">
        <f>COUNTIF(F75:HU75,"P")</f>
        <v>19</v>
      </c>
      <c r="B7" s="176"/>
      <c r="C7" s="177">
        <f>COUNTIF(F75:HU75,"F")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COUNTIF(E74:HU74,"N")</f>
        <v>1</v>
      </c>
      <c r="M7" s="179">
        <f>COUNTIF(E74:HU74,"A")</f>
        <v>7</v>
      </c>
      <c r="N7" s="179">
        <f>COUNTIF(E74:HU74,"B")</f>
        <v>11</v>
      </c>
      <c r="O7" s="177">
        <f>COUNTA(E9:HX9)</f>
        <v>19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  <c r="AA7" s="145"/>
      <c r="AB7" s="145"/>
      <c r="AC7" s="145"/>
      <c r="AD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187" t="s">
        <v>155</v>
      </c>
      <c r="M9" s="246" t="s">
        <v>191</v>
      </c>
      <c r="N9" s="246" t="s">
        <v>217</v>
      </c>
      <c r="O9" s="246" t="s">
        <v>218</v>
      </c>
      <c r="P9" s="246" t="s">
        <v>219</v>
      </c>
      <c r="Q9" s="246" t="s">
        <v>220</v>
      </c>
      <c r="R9" s="246" t="s">
        <v>221</v>
      </c>
      <c r="S9" s="246" t="s">
        <v>259</v>
      </c>
      <c r="T9" s="246" t="s">
        <v>260</v>
      </c>
      <c r="U9" s="246" t="s">
        <v>261</v>
      </c>
      <c r="V9" s="246" t="s">
        <v>262</v>
      </c>
      <c r="W9" s="246" t="s">
        <v>263</v>
      </c>
      <c r="X9" s="246" t="s">
        <v>264</v>
      </c>
      <c r="Y9" s="188"/>
      <c r="Z9" s="157"/>
      <c r="AA9" s="145"/>
      <c r="AB9" s="145"/>
      <c r="AC9" s="145"/>
      <c r="AD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45"/>
      <c r="Z10" s="145"/>
      <c r="AA10" s="145"/>
      <c r="AB10" s="145"/>
      <c r="AC10" s="145"/>
      <c r="AD10" s="145"/>
    </row>
    <row r="11" ht="13.5" customHeight="1">
      <c r="A11" s="195"/>
      <c r="B11" s="196"/>
      <c r="C11" s="197"/>
      <c r="D11" s="202" t="s">
        <v>265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99" t="s">
        <v>159</v>
      </c>
      <c r="N11" s="199" t="s">
        <v>159</v>
      </c>
      <c r="O11" s="199" t="s">
        <v>159</v>
      </c>
      <c r="P11" s="199" t="s">
        <v>159</v>
      </c>
      <c r="Q11" s="199" t="s">
        <v>159</v>
      </c>
      <c r="R11" s="199" t="s">
        <v>159</v>
      </c>
      <c r="S11" s="199" t="s">
        <v>159</v>
      </c>
      <c r="T11" s="199" t="s">
        <v>159</v>
      </c>
      <c r="U11" s="199" t="s">
        <v>159</v>
      </c>
      <c r="V11" s="199" t="s">
        <v>159</v>
      </c>
      <c r="W11" s="199" t="s">
        <v>159</v>
      </c>
      <c r="X11" s="199" t="s">
        <v>159</v>
      </c>
      <c r="Y11" s="145"/>
      <c r="Z11" s="157"/>
      <c r="AA11" s="145"/>
      <c r="AB11" s="145"/>
      <c r="AC11" s="145"/>
      <c r="AD11" s="145"/>
    </row>
    <row r="12" ht="13.5" customHeight="1">
      <c r="A12" s="195"/>
      <c r="B12" s="200" t="s">
        <v>266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145"/>
      <c r="Z12" s="145"/>
      <c r="AA12" s="145"/>
      <c r="AB12" s="145"/>
      <c r="AC12" s="145"/>
      <c r="AD12" s="145"/>
    </row>
    <row r="13" ht="13.5" customHeight="1">
      <c r="A13" s="195"/>
      <c r="B13" s="196"/>
      <c r="C13" s="197"/>
      <c r="D13" s="202" t="s">
        <v>267</v>
      </c>
      <c r="E13" s="203"/>
      <c r="F13" s="199" t="s">
        <v>159</v>
      </c>
      <c r="G13" s="199"/>
      <c r="H13" s="199"/>
      <c r="I13" s="199" t="s">
        <v>159</v>
      </c>
      <c r="J13" s="199" t="s">
        <v>159</v>
      </c>
      <c r="K13" s="199" t="s">
        <v>159</v>
      </c>
      <c r="L13" s="199" t="s">
        <v>159</v>
      </c>
      <c r="M13" s="199" t="s">
        <v>159</v>
      </c>
      <c r="N13" s="199" t="s">
        <v>159</v>
      </c>
      <c r="O13" s="199" t="s">
        <v>159</v>
      </c>
      <c r="P13" s="199" t="s">
        <v>159</v>
      </c>
      <c r="Q13" s="199" t="s">
        <v>159</v>
      </c>
      <c r="R13" s="199" t="s">
        <v>159</v>
      </c>
      <c r="S13" s="199" t="s">
        <v>159</v>
      </c>
      <c r="T13" s="199" t="s">
        <v>159</v>
      </c>
      <c r="U13" s="199" t="s">
        <v>159</v>
      </c>
      <c r="V13" s="199" t="s">
        <v>159</v>
      </c>
      <c r="W13" s="199" t="s">
        <v>159</v>
      </c>
      <c r="X13" s="199" t="s">
        <v>159</v>
      </c>
      <c r="Y13" s="145"/>
      <c r="Z13" s="145"/>
      <c r="AA13" s="145"/>
      <c r="AB13" s="145"/>
      <c r="AC13" s="145"/>
      <c r="AD13" s="145"/>
    </row>
    <row r="14" ht="13.5" customHeight="1">
      <c r="A14" s="195"/>
      <c r="B14" s="196"/>
      <c r="C14" s="197"/>
      <c r="D14" s="202" t="s">
        <v>163</v>
      </c>
      <c r="E14" s="203"/>
      <c r="F14" s="199"/>
      <c r="G14" s="199" t="s">
        <v>159</v>
      </c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45"/>
      <c r="Z14" s="145"/>
      <c r="AA14" s="145"/>
      <c r="AB14" s="145"/>
      <c r="AC14" s="145"/>
      <c r="AD14" s="145"/>
    </row>
    <row r="15" ht="13.5" customHeight="1">
      <c r="A15" s="195"/>
      <c r="B15" s="196"/>
      <c r="C15" s="197"/>
      <c r="D15" s="202" t="s">
        <v>268</v>
      </c>
      <c r="E15" s="203"/>
      <c r="F15" s="199"/>
      <c r="G15" s="199"/>
      <c r="H15" s="199" t="s">
        <v>159</v>
      </c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45"/>
      <c r="Z15" s="145"/>
      <c r="AA15" s="145"/>
      <c r="AB15" s="145"/>
      <c r="AC15" s="145"/>
      <c r="AD15" s="145"/>
    </row>
    <row r="16" ht="13.5" customHeight="1">
      <c r="A16" s="195"/>
      <c r="B16" s="200" t="s">
        <v>227</v>
      </c>
      <c r="C16" s="197"/>
      <c r="D16" s="202"/>
      <c r="E16" s="203"/>
      <c r="F16" s="199"/>
      <c r="G16" s="199"/>
      <c r="H16" s="199"/>
      <c r="I16" s="201"/>
      <c r="J16" s="199"/>
      <c r="K16" s="199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145"/>
      <c r="Z16" s="145"/>
      <c r="AA16" s="145"/>
      <c r="AB16" s="145"/>
      <c r="AC16" s="145"/>
      <c r="AD16" s="145"/>
    </row>
    <row r="17" ht="13.5" customHeight="1">
      <c r="A17" s="195"/>
      <c r="B17" s="200"/>
      <c r="C17" s="197"/>
      <c r="D17" s="202" t="s">
        <v>269</v>
      </c>
      <c r="E17" s="204"/>
      <c r="F17" s="199" t="s">
        <v>159</v>
      </c>
      <c r="G17" s="199" t="s">
        <v>159</v>
      </c>
      <c r="H17" s="199" t="s">
        <v>159</v>
      </c>
      <c r="I17" s="199"/>
      <c r="J17" s="201"/>
      <c r="K17" s="199" t="s">
        <v>159</v>
      </c>
      <c r="L17" s="199" t="s">
        <v>159</v>
      </c>
      <c r="M17" s="199" t="s">
        <v>159</v>
      </c>
      <c r="N17" s="199" t="s">
        <v>159</v>
      </c>
      <c r="O17" s="199" t="s">
        <v>159</v>
      </c>
      <c r="P17" s="199" t="s">
        <v>159</v>
      </c>
      <c r="Q17" s="199" t="s">
        <v>159</v>
      </c>
      <c r="R17" s="199" t="s">
        <v>159</v>
      </c>
      <c r="S17" s="199" t="s">
        <v>159</v>
      </c>
      <c r="T17" s="199" t="s">
        <v>159</v>
      </c>
      <c r="U17" s="199" t="s">
        <v>159</v>
      </c>
      <c r="V17" s="199" t="s">
        <v>159</v>
      </c>
      <c r="W17" s="199" t="s">
        <v>159</v>
      </c>
      <c r="X17" s="199" t="s">
        <v>159</v>
      </c>
      <c r="Y17" s="145"/>
      <c r="Z17" s="145"/>
      <c r="AA17" s="145"/>
      <c r="AB17" s="145"/>
      <c r="AC17" s="145"/>
      <c r="AD17" s="145"/>
    </row>
    <row r="18" ht="13.5" customHeight="1">
      <c r="A18" s="195"/>
      <c r="B18" s="200"/>
      <c r="C18" s="197"/>
      <c r="D18" s="202" t="s">
        <v>163</v>
      </c>
      <c r="E18" s="204"/>
      <c r="F18" s="199"/>
      <c r="G18" s="199"/>
      <c r="H18" s="201"/>
      <c r="I18" s="199" t="s">
        <v>159</v>
      </c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145"/>
      <c r="Z18" s="145"/>
      <c r="AA18" s="145"/>
      <c r="AB18" s="145"/>
      <c r="AC18" s="145"/>
      <c r="AD18" s="145"/>
    </row>
    <row r="19" ht="13.5" customHeight="1">
      <c r="A19" s="195"/>
      <c r="B19" s="200"/>
      <c r="C19" s="197"/>
      <c r="D19" s="202" t="s">
        <v>270</v>
      </c>
      <c r="E19" s="204"/>
      <c r="F19" s="199"/>
      <c r="G19" s="199"/>
      <c r="H19" s="201"/>
      <c r="I19" s="199"/>
      <c r="J19" s="199" t="s">
        <v>159</v>
      </c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145"/>
      <c r="Z19" s="145"/>
      <c r="AA19" s="145"/>
      <c r="AB19" s="145"/>
      <c r="AC19" s="145"/>
      <c r="AD19" s="145"/>
    </row>
    <row r="20" ht="13.5" customHeight="1">
      <c r="A20" s="195"/>
      <c r="B20" s="200" t="s">
        <v>271</v>
      </c>
      <c r="C20" s="197"/>
      <c r="D20" s="202"/>
      <c r="E20" s="204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45"/>
      <c r="Z20" s="145"/>
      <c r="AA20" s="145"/>
      <c r="AB20" s="145"/>
      <c r="AC20" s="145"/>
      <c r="AD20" s="145"/>
    </row>
    <row r="21" ht="13.5" customHeight="1">
      <c r="A21" s="195"/>
      <c r="B21" s="196"/>
      <c r="C21" s="197"/>
      <c r="D21" s="202" t="s">
        <v>272</v>
      </c>
      <c r="E21" s="204"/>
      <c r="F21" s="199" t="s">
        <v>159</v>
      </c>
      <c r="G21" s="199" t="s">
        <v>159</v>
      </c>
      <c r="H21" s="199" t="s">
        <v>159</v>
      </c>
      <c r="I21" s="199" t="s">
        <v>159</v>
      </c>
      <c r="J21" s="199" t="s">
        <v>159</v>
      </c>
      <c r="K21" s="199"/>
      <c r="L21" s="199"/>
      <c r="M21" s="201"/>
      <c r="N21" s="199" t="s">
        <v>159</v>
      </c>
      <c r="O21" s="199" t="s">
        <v>159</v>
      </c>
      <c r="P21" s="199" t="s">
        <v>159</v>
      </c>
      <c r="Q21" s="199" t="s">
        <v>159</v>
      </c>
      <c r="R21" s="199" t="s">
        <v>159</v>
      </c>
      <c r="S21" s="199" t="s">
        <v>159</v>
      </c>
      <c r="T21" s="199" t="s">
        <v>159</v>
      </c>
      <c r="U21" s="199" t="s">
        <v>159</v>
      </c>
      <c r="V21" s="199" t="s">
        <v>159</v>
      </c>
      <c r="W21" s="199" t="s">
        <v>159</v>
      </c>
      <c r="X21" s="199" t="s">
        <v>159</v>
      </c>
      <c r="Y21" s="145"/>
      <c r="Z21" s="145"/>
      <c r="AA21" s="145"/>
      <c r="AB21" s="145"/>
      <c r="AC21" s="145"/>
      <c r="AD21" s="145"/>
    </row>
    <row r="22" ht="13.5" customHeight="1">
      <c r="A22" s="195"/>
      <c r="B22" s="196"/>
      <c r="C22" s="197"/>
      <c r="D22" s="202" t="s">
        <v>273</v>
      </c>
      <c r="E22" s="204"/>
      <c r="F22" s="199"/>
      <c r="G22" s="199"/>
      <c r="H22" s="199"/>
      <c r="I22" s="199"/>
      <c r="J22" s="199"/>
      <c r="K22" s="199" t="s">
        <v>159</v>
      </c>
      <c r="L22" s="199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145"/>
      <c r="Z22" s="145"/>
      <c r="AA22" s="145"/>
      <c r="AB22" s="145"/>
      <c r="AC22" s="145"/>
      <c r="AD22" s="145"/>
    </row>
    <row r="23" ht="13.5" customHeight="1">
      <c r="A23" s="195"/>
      <c r="B23" s="196"/>
      <c r="C23" s="197"/>
      <c r="D23" s="202" t="s">
        <v>274</v>
      </c>
      <c r="E23" s="204"/>
      <c r="F23" s="199"/>
      <c r="G23" s="199"/>
      <c r="H23" s="199"/>
      <c r="I23" s="199"/>
      <c r="J23" s="199"/>
      <c r="K23" s="199"/>
      <c r="L23" s="199" t="s">
        <v>159</v>
      </c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145"/>
      <c r="Z23" s="145"/>
      <c r="AA23" s="145"/>
      <c r="AB23" s="145"/>
      <c r="AC23" s="145"/>
      <c r="AD23" s="145"/>
    </row>
    <row r="24" ht="13.5" customHeight="1">
      <c r="A24" s="195"/>
      <c r="B24" s="196"/>
      <c r="C24" s="197"/>
      <c r="D24" s="202" t="s">
        <v>163</v>
      </c>
      <c r="E24" s="204"/>
      <c r="F24" s="199"/>
      <c r="G24" s="199"/>
      <c r="H24" s="199"/>
      <c r="I24" s="199"/>
      <c r="J24" s="199"/>
      <c r="K24" s="199"/>
      <c r="L24" s="199"/>
      <c r="M24" s="199" t="s">
        <v>159</v>
      </c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145"/>
      <c r="Z24" s="145"/>
      <c r="AA24" s="145"/>
      <c r="AB24" s="145"/>
      <c r="AC24" s="145"/>
      <c r="AD24" s="145"/>
    </row>
    <row r="25" ht="13.5" customHeight="1">
      <c r="A25" s="195"/>
      <c r="B25" s="200" t="s">
        <v>275</v>
      </c>
      <c r="C25" s="197"/>
      <c r="D25" s="202"/>
      <c r="E25" s="204"/>
      <c r="F25" s="201"/>
      <c r="G25" s="201"/>
      <c r="H25" s="201"/>
      <c r="I25" s="201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45"/>
      <c r="Z25" s="145"/>
      <c r="AA25" s="145"/>
      <c r="AB25" s="145"/>
      <c r="AC25" s="145"/>
      <c r="AD25" s="145"/>
    </row>
    <row r="26" ht="13.5" customHeight="1">
      <c r="A26" s="195"/>
      <c r="B26" s="196"/>
      <c r="C26" s="197"/>
      <c r="D26" s="202">
        <v>2500000.0</v>
      </c>
      <c r="E26" s="204"/>
      <c r="F26" s="199" t="s">
        <v>159</v>
      </c>
      <c r="G26" s="199" t="s">
        <v>159</v>
      </c>
      <c r="H26" s="199" t="s">
        <v>159</v>
      </c>
      <c r="I26" s="199" t="s">
        <v>159</v>
      </c>
      <c r="J26" s="199" t="s">
        <v>159</v>
      </c>
      <c r="K26" s="199" t="s">
        <v>159</v>
      </c>
      <c r="L26" s="199" t="s">
        <v>159</v>
      </c>
      <c r="M26" s="199" t="s">
        <v>159</v>
      </c>
      <c r="N26" s="199"/>
      <c r="O26" s="199"/>
      <c r="P26" s="199"/>
      <c r="Q26" s="199"/>
      <c r="R26" s="199" t="s">
        <v>159</v>
      </c>
      <c r="S26" s="199" t="s">
        <v>159</v>
      </c>
      <c r="T26" s="199" t="s">
        <v>159</v>
      </c>
      <c r="U26" s="199" t="s">
        <v>159</v>
      </c>
      <c r="V26" s="199" t="s">
        <v>159</v>
      </c>
      <c r="W26" s="199" t="s">
        <v>159</v>
      </c>
      <c r="X26" s="199" t="s">
        <v>159</v>
      </c>
      <c r="Y26" s="145"/>
      <c r="Z26" s="145"/>
      <c r="AA26" s="145"/>
      <c r="AB26" s="145"/>
      <c r="AC26" s="145"/>
      <c r="AD26" s="145"/>
    </row>
    <row r="27" ht="13.5" customHeight="1">
      <c r="A27" s="195"/>
      <c r="B27" s="196"/>
      <c r="C27" s="197"/>
      <c r="D27" s="202">
        <v>0.0</v>
      </c>
      <c r="E27" s="204"/>
      <c r="F27" s="199"/>
      <c r="G27" s="199"/>
      <c r="H27" s="199"/>
      <c r="I27" s="199"/>
      <c r="J27" s="199"/>
      <c r="K27" s="199"/>
      <c r="L27" s="199"/>
      <c r="M27" s="199"/>
      <c r="N27" s="199" t="s">
        <v>159</v>
      </c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45"/>
      <c r="Z27" s="145"/>
      <c r="AA27" s="145"/>
      <c r="AB27" s="145"/>
      <c r="AC27" s="145"/>
      <c r="AD27" s="145"/>
    </row>
    <row r="28" ht="13.5" customHeight="1">
      <c r="A28" s="195"/>
      <c r="B28" s="196"/>
      <c r="C28" s="197"/>
      <c r="D28" s="202">
        <v>-1000.0</v>
      </c>
      <c r="E28" s="204"/>
      <c r="F28" s="199"/>
      <c r="G28" s="199"/>
      <c r="H28" s="199"/>
      <c r="I28" s="199"/>
      <c r="J28" s="199"/>
      <c r="K28" s="199"/>
      <c r="L28" s="199"/>
      <c r="M28" s="199"/>
      <c r="N28" s="199"/>
      <c r="O28" s="199" t="s">
        <v>159</v>
      </c>
      <c r="P28" s="199"/>
      <c r="Q28" s="199"/>
      <c r="R28" s="199"/>
      <c r="S28" s="199"/>
      <c r="T28" s="199"/>
      <c r="U28" s="199"/>
      <c r="V28" s="199"/>
      <c r="W28" s="199"/>
      <c r="X28" s="199"/>
      <c r="Y28" s="145"/>
      <c r="Z28" s="145"/>
      <c r="AA28" s="145"/>
      <c r="AB28" s="145"/>
      <c r="AC28" s="145"/>
      <c r="AD28" s="145"/>
    </row>
    <row r="29" ht="13.5" customHeight="1">
      <c r="A29" s="195"/>
      <c r="B29" s="196"/>
      <c r="C29" s="197"/>
      <c r="D29" s="202" t="s">
        <v>276</v>
      </c>
      <c r="E29" s="204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 t="s">
        <v>159</v>
      </c>
      <c r="Q29" s="199"/>
      <c r="R29" s="199"/>
      <c r="S29" s="199"/>
      <c r="T29" s="199"/>
      <c r="U29" s="199"/>
      <c r="V29" s="199"/>
      <c r="W29" s="199"/>
      <c r="X29" s="199"/>
      <c r="Y29" s="145"/>
      <c r="Z29" s="145"/>
      <c r="AA29" s="145"/>
      <c r="AB29" s="145"/>
      <c r="AC29" s="145"/>
      <c r="AD29" s="145"/>
    </row>
    <row r="30" ht="13.5" customHeight="1">
      <c r="A30" s="195"/>
      <c r="B30" s="196"/>
      <c r="C30" s="197"/>
      <c r="D30" s="202" t="s">
        <v>163</v>
      </c>
      <c r="E30" s="204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 t="s">
        <v>159</v>
      </c>
      <c r="R30" s="199"/>
      <c r="S30" s="199"/>
      <c r="T30" s="199"/>
      <c r="U30" s="199"/>
      <c r="V30" s="199"/>
      <c r="W30" s="199"/>
      <c r="X30" s="199"/>
      <c r="Y30" s="145"/>
      <c r="Z30" s="145"/>
      <c r="AA30" s="145"/>
      <c r="AB30" s="145"/>
      <c r="AC30" s="145"/>
      <c r="AD30" s="145"/>
    </row>
    <row r="31" ht="13.5" customHeight="1">
      <c r="A31" s="195"/>
      <c r="B31" s="200" t="s">
        <v>277</v>
      </c>
      <c r="C31" s="197"/>
      <c r="D31" s="202"/>
      <c r="E31" s="204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45"/>
      <c r="Z31" s="145"/>
      <c r="AA31" s="145"/>
      <c r="AB31" s="145"/>
      <c r="AC31" s="145"/>
      <c r="AD31" s="145"/>
    </row>
    <row r="32" ht="13.5" customHeight="1">
      <c r="A32" s="195"/>
      <c r="B32" s="200"/>
      <c r="C32" s="197"/>
      <c r="D32" s="262">
        <v>45658.0</v>
      </c>
      <c r="E32" s="204"/>
      <c r="F32" s="199" t="s">
        <v>159</v>
      </c>
      <c r="G32" s="199" t="s">
        <v>159</v>
      </c>
      <c r="H32" s="199" t="s">
        <v>159</v>
      </c>
      <c r="I32" s="199" t="s">
        <v>159</v>
      </c>
      <c r="J32" s="199" t="s">
        <v>159</v>
      </c>
      <c r="K32" s="199" t="s">
        <v>159</v>
      </c>
      <c r="L32" s="199" t="s">
        <v>159</v>
      </c>
      <c r="M32" s="199" t="s">
        <v>159</v>
      </c>
      <c r="N32" s="199" t="s">
        <v>159</v>
      </c>
      <c r="O32" s="199" t="s">
        <v>159</v>
      </c>
      <c r="P32" s="199" t="s">
        <v>159</v>
      </c>
      <c r="Q32" s="199" t="s">
        <v>159</v>
      </c>
      <c r="R32" s="201"/>
      <c r="S32" s="199" t="s">
        <v>159</v>
      </c>
      <c r="T32" s="201"/>
      <c r="U32" s="199" t="s">
        <v>159</v>
      </c>
      <c r="V32" s="199" t="s">
        <v>159</v>
      </c>
      <c r="W32" s="199" t="s">
        <v>159</v>
      </c>
      <c r="X32" s="199" t="s">
        <v>159</v>
      </c>
      <c r="Y32" s="145"/>
      <c r="Z32" s="145"/>
      <c r="AA32" s="145"/>
      <c r="AB32" s="145"/>
      <c r="AC32" s="145"/>
      <c r="AD32" s="145"/>
    </row>
    <row r="33" ht="13.5" customHeight="1">
      <c r="A33" s="195"/>
      <c r="B33" s="200"/>
      <c r="C33" s="197"/>
      <c r="D33" s="262">
        <v>45689.0</v>
      </c>
      <c r="E33" s="204"/>
      <c r="F33" s="199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199" t="s">
        <v>159</v>
      </c>
      <c r="S33" s="201"/>
      <c r="T33" s="201"/>
      <c r="U33" s="201"/>
      <c r="V33" s="201"/>
      <c r="W33" s="201"/>
      <c r="X33" s="201"/>
      <c r="Y33" s="145"/>
      <c r="Z33" s="145"/>
      <c r="AA33" s="145"/>
      <c r="AB33" s="145"/>
      <c r="AC33" s="145"/>
      <c r="AD33" s="145"/>
    </row>
    <row r="34" ht="13.5" customHeight="1">
      <c r="A34" s="195"/>
      <c r="B34" s="200"/>
      <c r="C34" s="197"/>
      <c r="D34" s="202" t="s">
        <v>278</v>
      </c>
      <c r="E34" s="204"/>
      <c r="F34" s="199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199" t="s">
        <v>159</v>
      </c>
      <c r="U34" s="201"/>
      <c r="V34" s="201"/>
      <c r="W34" s="201"/>
      <c r="X34" s="201"/>
      <c r="Y34" s="145"/>
      <c r="Z34" s="145"/>
      <c r="AA34" s="145"/>
      <c r="AB34" s="145"/>
      <c r="AC34" s="145"/>
      <c r="AD34" s="145"/>
    </row>
    <row r="35" ht="13.5" customHeight="1">
      <c r="A35" s="195"/>
      <c r="B35" s="200" t="s">
        <v>279</v>
      </c>
      <c r="C35" s="197"/>
      <c r="D35" s="202"/>
      <c r="E35" s="204"/>
      <c r="F35" s="199"/>
      <c r="G35" s="199"/>
      <c r="H35" s="199"/>
      <c r="I35" s="199"/>
      <c r="J35" s="199"/>
      <c r="K35" s="199"/>
      <c r="L35" s="199"/>
      <c r="M35" s="199"/>
      <c r="N35" s="201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45"/>
      <c r="Z35" s="145"/>
      <c r="AA35" s="145"/>
      <c r="AB35" s="145"/>
      <c r="AC35" s="145"/>
      <c r="AD35" s="145"/>
    </row>
    <row r="36" ht="13.5" customHeight="1">
      <c r="A36" s="195"/>
      <c r="B36" s="196"/>
      <c r="C36" s="197"/>
      <c r="D36" s="262">
        <v>45689.0</v>
      </c>
      <c r="E36" s="204"/>
      <c r="F36" s="199" t="s">
        <v>159</v>
      </c>
      <c r="G36" s="199" t="s">
        <v>159</v>
      </c>
      <c r="H36" s="199" t="s">
        <v>159</v>
      </c>
      <c r="I36" s="199" t="s">
        <v>159</v>
      </c>
      <c r="J36" s="199" t="s">
        <v>159</v>
      </c>
      <c r="K36" s="199" t="s">
        <v>159</v>
      </c>
      <c r="L36" s="199" t="s">
        <v>159</v>
      </c>
      <c r="M36" s="199" t="s">
        <v>159</v>
      </c>
      <c r="N36" s="199" t="s">
        <v>159</v>
      </c>
      <c r="O36" s="199" t="s">
        <v>159</v>
      </c>
      <c r="P36" s="199" t="s">
        <v>159</v>
      </c>
      <c r="Q36" s="199" t="s">
        <v>159</v>
      </c>
      <c r="R36" s="201"/>
      <c r="S36" s="201"/>
      <c r="T36" s="199" t="s">
        <v>159</v>
      </c>
      <c r="U36" s="201"/>
      <c r="V36" s="199" t="s">
        <v>159</v>
      </c>
      <c r="W36" s="199" t="s">
        <v>159</v>
      </c>
      <c r="X36" s="199" t="s">
        <v>159</v>
      </c>
      <c r="Y36" s="145"/>
      <c r="Z36" s="145"/>
      <c r="AA36" s="145"/>
      <c r="AB36" s="145"/>
      <c r="AC36" s="145"/>
      <c r="AD36" s="145"/>
    </row>
    <row r="37" ht="13.5" customHeight="1">
      <c r="A37" s="195"/>
      <c r="B37" s="196"/>
      <c r="C37" s="197"/>
      <c r="D37" s="262">
        <v>45658.0</v>
      </c>
      <c r="E37" s="204"/>
      <c r="F37" s="199"/>
      <c r="G37" s="199"/>
      <c r="H37" s="199"/>
      <c r="I37" s="199"/>
      <c r="J37" s="199"/>
      <c r="K37" s="199"/>
      <c r="L37" s="199"/>
      <c r="M37" s="199"/>
      <c r="N37" s="199"/>
      <c r="O37" s="201"/>
      <c r="P37" s="201"/>
      <c r="Q37" s="201"/>
      <c r="R37" s="199" t="s">
        <v>159</v>
      </c>
      <c r="S37" s="199" t="s">
        <v>159</v>
      </c>
      <c r="T37" s="201"/>
      <c r="U37" s="201"/>
      <c r="V37" s="201"/>
      <c r="W37" s="201"/>
      <c r="X37" s="201"/>
      <c r="Y37" s="145"/>
      <c r="Z37" s="145"/>
      <c r="AA37" s="145"/>
      <c r="AB37" s="145"/>
      <c r="AC37" s="145"/>
      <c r="AD37" s="145"/>
    </row>
    <row r="38" ht="13.5" customHeight="1">
      <c r="A38" s="195"/>
      <c r="B38" s="196"/>
      <c r="C38" s="197"/>
      <c r="D38" s="202" t="s">
        <v>278</v>
      </c>
      <c r="E38" s="204"/>
      <c r="F38" s="199"/>
      <c r="G38" s="199"/>
      <c r="H38" s="199"/>
      <c r="I38" s="199"/>
      <c r="J38" s="199"/>
      <c r="K38" s="199"/>
      <c r="L38" s="199"/>
      <c r="M38" s="199"/>
      <c r="N38" s="199"/>
      <c r="O38" s="201"/>
      <c r="P38" s="201"/>
      <c r="Q38" s="201"/>
      <c r="R38" s="201"/>
      <c r="S38" s="201"/>
      <c r="T38" s="201"/>
      <c r="U38" s="199" t="s">
        <v>159</v>
      </c>
      <c r="V38" s="201"/>
      <c r="W38" s="201"/>
      <c r="X38" s="201"/>
      <c r="Y38" s="145"/>
      <c r="Z38" s="145"/>
      <c r="AA38" s="145"/>
      <c r="AB38" s="145"/>
      <c r="AC38" s="145"/>
      <c r="AD38" s="145"/>
    </row>
    <row r="39" ht="13.5" customHeight="1">
      <c r="A39" s="195"/>
      <c r="B39" s="200" t="s">
        <v>280</v>
      </c>
      <c r="C39" s="197"/>
      <c r="D39" s="202"/>
      <c r="E39" s="204"/>
      <c r="F39" s="201"/>
      <c r="G39" s="199"/>
      <c r="H39" s="199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145"/>
      <c r="Z39" s="145"/>
      <c r="AA39" s="145"/>
      <c r="AB39" s="145"/>
      <c r="AC39" s="145"/>
      <c r="AD39" s="145"/>
    </row>
    <row r="40" ht="13.5" customHeight="1">
      <c r="A40" s="195"/>
      <c r="B40" s="200"/>
      <c r="C40" s="197"/>
      <c r="D40" s="202" t="s">
        <v>281</v>
      </c>
      <c r="E40" s="204"/>
      <c r="F40" s="199" t="s">
        <v>159</v>
      </c>
      <c r="G40" s="199" t="s">
        <v>159</v>
      </c>
      <c r="H40" s="199" t="s">
        <v>159</v>
      </c>
      <c r="I40" s="199" t="s">
        <v>159</v>
      </c>
      <c r="J40" s="199" t="s">
        <v>159</v>
      </c>
      <c r="K40" s="199" t="s">
        <v>159</v>
      </c>
      <c r="L40" s="199" t="s">
        <v>159</v>
      </c>
      <c r="M40" s="199" t="s">
        <v>159</v>
      </c>
      <c r="N40" s="199" t="s">
        <v>159</v>
      </c>
      <c r="O40" s="199" t="s">
        <v>159</v>
      </c>
      <c r="P40" s="199" t="s">
        <v>159</v>
      </c>
      <c r="Q40" s="199" t="s">
        <v>159</v>
      </c>
      <c r="R40" s="199" t="s">
        <v>159</v>
      </c>
      <c r="S40" s="199" t="s">
        <v>159</v>
      </c>
      <c r="T40" s="199" t="s">
        <v>159</v>
      </c>
      <c r="U40" s="199" t="s">
        <v>159</v>
      </c>
      <c r="V40" s="199"/>
      <c r="W40" s="199"/>
      <c r="X40" s="199" t="s">
        <v>159</v>
      </c>
      <c r="Y40" s="145"/>
      <c r="Z40" s="145"/>
      <c r="AA40" s="145"/>
      <c r="AB40" s="145"/>
      <c r="AC40" s="145"/>
      <c r="AD40" s="145"/>
    </row>
    <row r="41" ht="13.5" customHeight="1">
      <c r="A41" s="195"/>
      <c r="B41" s="200"/>
      <c r="C41" s="197"/>
      <c r="D41" s="202" t="s">
        <v>282</v>
      </c>
      <c r="E41" s="204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 t="s">
        <v>159</v>
      </c>
      <c r="W41" s="199"/>
      <c r="X41" s="199"/>
      <c r="Y41" s="145"/>
      <c r="Z41" s="145"/>
      <c r="AA41" s="145"/>
      <c r="AB41" s="145"/>
      <c r="AC41" s="145"/>
      <c r="AD41" s="145"/>
    </row>
    <row r="42" ht="13.5" customHeight="1">
      <c r="A42" s="195"/>
      <c r="B42" s="200"/>
      <c r="C42" s="197"/>
      <c r="D42" s="202" t="s">
        <v>283</v>
      </c>
      <c r="E42" s="204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 t="s">
        <v>159</v>
      </c>
      <c r="X42" s="199"/>
      <c r="Y42" s="145"/>
      <c r="Z42" s="145"/>
      <c r="AA42" s="145"/>
      <c r="AB42" s="145"/>
      <c r="AC42" s="145"/>
      <c r="AD42" s="145"/>
    </row>
    <row r="43" ht="13.5" customHeight="1">
      <c r="A43" s="195"/>
      <c r="B43" s="200" t="s">
        <v>284</v>
      </c>
      <c r="C43" s="197"/>
      <c r="D43" s="202"/>
      <c r="E43" s="204"/>
      <c r="F43" s="199"/>
      <c r="G43" s="199"/>
      <c r="H43" s="199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145"/>
      <c r="Z43" s="145"/>
      <c r="AA43" s="145"/>
      <c r="AB43" s="145"/>
      <c r="AC43" s="145"/>
      <c r="AD43" s="145"/>
    </row>
    <row r="44" ht="13.5" customHeight="1">
      <c r="A44" s="195"/>
      <c r="B44" s="200"/>
      <c r="C44" s="197"/>
      <c r="D44" s="202" t="s">
        <v>285</v>
      </c>
      <c r="E44" s="204"/>
      <c r="F44" s="199" t="s">
        <v>159</v>
      </c>
      <c r="G44" s="199" t="s">
        <v>159</v>
      </c>
      <c r="H44" s="199" t="s">
        <v>159</v>
      </c>
      <c r="I44" s="199" t="s">
        <v>159</v>
      </c>
      <c r="J44" s="199" t="s">
        <v>159</v>
      </c>
      <c r="K44" s="199" t="s">
        <v>159</v>
      </c>
      <c r="L44" s="199" t="s">
        <v>159</v>
      </c>
      <c r="M44" s="199" t="s">
        <v>159</v>
      </c>
      <c r="N44" s="199" t="s">
        <v>159</v>
      </c>
      <c r="O44" s="199" t="s">
        <v>159</v>
      </c>
      <c r="P44" s="199" t="s">
        <v>159</v>
      </c>
      <c r="Q44" s="199" t="s">
        <v>159</v>
      </c>
      <c r="R44" s="199" t="s">
        <v>159</v>
      </c>
      <c r="S44" s="199" t="s">
        <v>159</v>
      </c>
      <c r="T44" s="199" t="s">
        <v>159</v>
      </c>
      <c r="U44" s="199" t="s">
        <v>159</v>
      </c>
      <c r="V44" s="199" t="s">
        <v>159</v>
      </c>
      <c r="W44" s="199" t="s">
        <v>159</v>
      </c>
      <c r="X44" s="201"/>
      <c r="Y44" s="145"/>
      <c r="Z44" s="145"/>
      <c r="AA44" s="145"/>
      <c r="AB44" s="145"/>
      <c r="AC44" s="145"/>
      <c r="AD44" s="145"/>
    </row>
    <row r="45" ht="13.5" customHeight="1">
      <c r="A45" s="195"/>
      <c r="B45" s="200"/>
      <c r="C45" s="197"/>
      <c r="D45" s="202" t="s">
        <v>286</v>
      </c>
      <c r="E45" s="204"/>
      <c r="F45" s="199"/>
      <c r="G45" s="199"/>
      <c r="H45" s="199"/>
      <c r="I45" s="199"/>
      <c r="J45" s="199"/>
      <c r="K45" s="199"/>
      <c r="L45" s="199"/>
      <c r="M45" s="199"/>
      <c r="N45" s="199"/>
      <c r="O45" s="201"/>
      <c r="P45" s="199"/>
      <c r="Q45" s="199"/>
      <c r="R45" s="199"/>
      <c r="S45" s="199"/>
      <c r="T45" s="199"/>
      <c r="U45" s="199"/>
      <c r="V45" s="199"/>
      <c r="W45" s="199"/>
      <c r="X45" s="199" t="s">
        <v>159</v>
      </c>
      <c r="Y45" s="145"/>
      <c r="Z45" s="145"/>
      <c r="AA45" s="145"/>
      <c r="AB45" s="145"/>
      <c r="AC45" s="145"/>
      <c r="AD45" s="145"/>
    </row>
    <row r="46" ht="13.5" customHeight="1">
      <c r="A46" s="207" t="s">
        <v>168</v>
      </c>
      <c r="B46" s="208" t="s">
        <v>169</v>
      </c>
      <c r="C46" s="209"/>
      <c r="D46" s="210"/>
      <c r="E46" s="211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45"/>
      <c r="Z46" s="145"/>
      <c r="AA46" s="145"/>
      <c r="AB46" s="145"/>
      <c r="AC46" s="145"/>
      <c r="AD46" s="145"/>
    </row>
    <row r="47" ht="13.5" customHeight="1">
      <c r="A47" s="212"/>
      <c r="B47" s="213"/>
      <c r="C47" s="214"/>
      <c r="D47" s="215" t="s">
        <v>170</v>
      </c>
      <c r="E47" s="216"/>
      <c r="F47" s="201" t="s">
        <v>159</v>
      </c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199"/>
      <c r="S47" s="199"/>
      <c r="T47" s="199"/>
      <c r="U47" s="199"/>
      <c r="V47" s="199"/>
      <c r="W47" s="199"/>
      <c r="X47" s="199"/>
      <c r="Y47" s="145"/>
      <c r="Z47" s="145"/>
      <c r="AA47" s="145"/>
      <c r="AB47" s="145"/>
      <c r="AC47" s="145"/>
      <c r="AD47" s="145"/>
    </row>
    <row r="48" ht="13.5" customHeight="1">
      <c r="A48" s="212"/>
      <c r="B48" s="213"/>
      <c r="C48" s="217"/>
      <c r="D48" s="215" t="s">
        <v>171</v>
      </c>
      <c r="E48" s="218"/>
      <c r="F48" s="201"/>
      <c r="G48" s="199" t="s">
        <v>159</v>
      </c>
      <c r="H48" s="199" t="s">
        <v>159</v>
      </c>
      <c r="I48" s="199" t="s">
        <v>159</v>
      </c>
      <c r="J48" s="199" t="s">
        <v>159</v>
      </c>
      <c r="K48" s="199" t="s">
        <v>159</v>
      </c>
      <c r="L48" s="199" t="s">
        <v>159</v>
      </c>
      <c r="M48" s="199" t="s">
        <v>159</v>
      </c>
      <c r="N48" s="199" t="s">
        <v>159</v>
      </c>
      <c r="O48" s="199" t="s">
        <v>159</v>
      </c>
      <c r="P48" s="199" t="s">
        <v>159</v>
      </c>
      <c r="Q48" s="199" t="s">
        <v>159</v>
      </c>
      <c r="R48" s="199" t="s">
        <v>159</v>
      </c>
      <c r="S48" s="199" t="s">
        <v>159</v>
      </c>
      <c r="T48" s="199" t="s">
        <v>159</v>
      </c>
      <c r="U48" s="199" t="s">
        <v>159</v>
      </c>
      <c r="V48" s="199" t="s">
        <v>159</v>
      </c>
      <c r="W48" s="199" t="s">
        <v>159</v>
      </c>
      <c r="X48" s="199" t="s">
        <v>159</v>
      </c>
      <c r="Y48" s="145"/>
      <c r="Z48" s="145"/>
      <c r="AA48" s="145"/>
      <c r="AB48" s="145"/>
      <c r="AC48" s="145"/>
      <c r="AD48" s="145"/>
    </row>
    <row r="49" ht="13.5" customHeight="1">
      <c r="A49" s="212"/>
      <c r="B49" s="213" t="s">
        <v>172</v>
      </c>
      <c r="C49" s="217"/>
      <c r="D49" s="215"/>
      <c r="E49" s="218"/>
      <c r="F49" s="201"/>
      <c r="G49" s="199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145"/>
      <c r="Z49" s="145"/>
      <c r="AA49" s="145"/>
      <c r="AB49" s="145"/>
      <c r="AC49" s="145"/>
      <c r="AD49" s="145"/>
    </row>
    <row r="50" ht="13.5" customHeight="1">
      <c r="A50" s="212"/>
      <c r="B50" s="213"/>
      <c r="C50" s="217"/>
      <c r="D50" s="219" t="s">
        <v>175</v>
      </c>
      <c r="E50" s="218"/>
      <c r="F50" s="201"/>
      <c r="G50" s="199" t="s">
        <v>159</v>
      </c>
      <c r="H50" s="199" t="s">
        <v>159</v>
      </c>
      <c r="I50" s="199" t="s">
        <v>159</v>
      </c>
      <c r="J50" s="199" t="s">
        <v>159</v>
      </c>
      <c r="K50" s="201"/>
      <c r="L50" s="201"/>
      <c r="M50" s="199" t="s">
        <v>159</v>
      </c>
      <c r="N50" s="201"/>
      <c r="O50" s="201"/>
      <c r="P50" s="199" t="s">
        <v>159</v>
      </c>
      <c r="Q50" s="199" t="s">
        <v>159</v>
      </c>
      <c r="R50" s="201"/>
      <c r="S50" s="201"/>
      <c r="T50" s="199" t="s">
        <v>159</v>
      </c>
      <c r="U50" s="199" t="s">
        <v>159</v>
      </c>
      <c r="V50" s="201"/>
      <c r="W50" s="199" t="s">
        <v>159</v>
      </c>
      <c r="X50" s="201"/>
      <c r="Y50" s="145"/>
      <c r="Z50" s="145"/>
      <c r="AA50" s="145"/>
      <c r="AB50" s="145"/>
      <c r="AC50" s="145"/>
      <c r="AD50" s="145"/>
    </row>
    <row r="51" ht="13.5" customHeight="1">
      <c r="A51" s="212"/>
      <c r="B51" s="213"/>
      <c r="C51" s="217"/>
      <c r="D51" s="219" t="s">
        <v>287</v>
      </c>
      <c r="E51" s="218"/>
      <c r="F51" s="201"/>
      <c r="G51" s="199"/>
      <c r="H51" s="199"/>
      <c r="I51" s="199"/>
      <c r="J51" s="199"/>
      <c r="K51" s="199" t="s">
        <v>159</v>
      </c>
      <c r="L51" s="199" t="s">
        <v>159</v>
      </c>
      <c r="M51" s="201"/>
      <c r="N51" s="199" t="s">
        <v>159</v>
      </c>
      <c r="O51" s="199" t="s">
        <v>159</v>
      </c>
      <c r="P51" s="201"/>
      <c r="Q51" s="201"/>
      <c r="R51" s="199" t="s">
        <v>159</v>
      </c>
      <c r="S51" s="199" t="s">
        <v>159</v>
      </c>
      <c r="T51" s="201"/>
      <c r="U51" s="201"/>
      <c r="V51" s="199"/>
      <c r="W51" s="201"/>
      <c r="X51" s="199" t="s">
        <v>159</v>
      </c>
      <c r="Y51" s="145"/>
      <c r="Z51" s="145"/>
      <c r="AA51" s="145"/>
      <c r="AB51" s="145"/>
      <c r="AC51" s="145"/>
      <c r="AD51" s="145"/>
    </row>
    <row r="52" ht="13.5" customHeight="1">
      <c r="A52" s="212"/>
      <c r="B52" s="213"/>
      <c r="C52" s="217"/>
      <c r="D52" s="219" t="s">
        <v>288</v>
      </c>
      <c r="E52" s="218"/>
      <c r="F52" s="201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201"/>
      <c r="S52" s="201"/>
      <c r="T52" s="201"/>
      <c r="U52" s="201"/>
      <c r="V52" s="199" t="s">
        <v>159</v>
      </c>
      <c r="W52" s="201"/>
      <c r="X52" s="201"/>
      <c r="Y52" s="145"/>
      <c r="Z52" s="145"/>
      <c r="AA52" s="145"/>
      <c r="AB52" s="145"/>
      <c r="AC52" s="145"/>
      <c r="AD52" s="145"/>
    </row>
    <row r="53" ht="13.5" customHeight="1">
      <c r="A53" s="212"/>
      <c r="B53" s="213" t="s">
        <v>176</v>
      </c>
      <c r="C53" s="217"/>
      <c r="D53" s="215"/>
      <c r="E53" s="218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145"/>
      <c r="Z53" s="145"/>
      <c r="AA53" s="145"/>
      <c r="AB53" s="145"/>
      <c r="AC53" s="145"/>
      <c r="AD53" s="145"/>
    </row>
    <row r="54" ht="13.5" customHeight="1">
      <c r="A54" s="212"/>
      <c r="B54" s="213"/>
      <c r="C54" s="217"/>
      <c r="D54" s="219" t="s">
        <v>289</v>
      </c>
      <c r="E54" s="218"/>
      <c r="F54" s="199" t="s">
        <v>159</v>
      </c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199"/>
      <c r="S54" s="199"/>
      <c r="T54" s="199"/>
      <c r="U54" s="199"/>
      <c r="V54" s="199"/>
      <c r="W54" s="199"/>
      <c r="X54" s="199"/>
      <c r="Y54" s="145"/>
      <c r="Z54" s="145"/>
      <c r="AA54" s="145"/>
      <c r="AB54" s="145"/>
      <c r="AC54" s="145"/>
      <c r="AD54" s="145"/>
    </row>
    <row r="55" ht="13.5" customHeight="1">
      <c r="A55" s="247"/>
      <c r="B55" s="248" t="s">
        <v>290</v>
      </c>
      <c r="C55" s="18"/>
      <c r="D55" s="18"/>
      <c r="E55" s="249"/>
      <c r="F55" s="224"/>
      <c r="G55" s="224" t="s">
        <v>159</v>
      </c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145"/>
      <c r="Z55" s="145"/>
      <c r="AA55" s="145"/>
      <c r="AB55" s="145"/>
      <c r="AC55" s="145"/>
      <c r="AD55" s="145"/>
    </row>
    <row r="56" ht="13.5" customHeight="1">
      <c r="A56" s="250"/>
      <c r="B56" s="248" t="s">
        <v>291</v>
      </c>
      <c r="C56" s="18"/>
      <c r="D56" s="18"/>
      <c r="E56" s="251"/>
      <c r="F56" s="252"/>
      <c r="G56" s="252"/>
      <c r="H56" s="252" t="s">
        <v>159</v>
      </c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145"/>
      <c r="Z56" s="145"/>
      <c r="AA56" s="145"/>
      <c r="AB56" s="145"/>
      <c r="AC56" s="145"/>
      <c r="AD56" s="145"/>
    </row>
    <row r="57" ht="13.5" customHeight="1">
      <c r="A57" s="250"/>
      <c r="B57" s="248" t="s">
        <v>292</v>
      </c>
      <c r="C57" s="18"/>
      <c r="D57" s="18"/>
      <c r="E57" s="251"/>
      <c r="F57" s="252"/>
      <c r="G57" s="252"/>
      <c r="H57" s="252"/>
      <c r="I57" s="252" t="s">
        <v>159</v>
      </c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145"/>
      <c r="Z57" s="145"/>
      <c r="AA57" s="145"/>
      <c r="AB57" s="145"/>
      <c r="AC57" s="145"/>
      <c r="AD57" s="145"/>
    </row>
    <row r="58" ht="13.5" customHeight="1">
      <c r="A58" s="250"/>
      <c r="B58" s="248" t="s">
        <v>293</v>
      </c>
      <c r="C58" s="18"/>
      <c r="D58" s="18"/>
      <c r="E58" s="251"/>
      <c r="F58" s="252"/>
      <c r="G58" s="252"/>
      <c r="H58" s="252"/>
      <c r="I58" s="252"/>
      <c r="J58" s="252" t="s">
        <v>159</v>
      </c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145"/>
      <c r="Z58" s="145"/>
      <c r="AA58" s="145"/>
      <c r="AB58" s="145"/>
      <c r="AC58" s="145"/>
      <c r="AD58" s="145"/>
    </row>
    <row r="59" ht="13.5" customHeight="1">
      <c r="A59" s="250"/>
      <c r="B59" s="248" t="s">
        <v>294</v>
      </c>
      <c r="C59" s="18"/>
      <c r="D59" s="18"/>
      <c r="E59" s="251"/>
      <c r="F59" s="252"/>
      <c r="G59" s="252"/>
      <c r="H59" s="252"/>
      <c r="I59" s="252"/>
      <c r="J59" s="252"/>
      <c r="K59" s="252" t="s">
        <v>159</v>
      </c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145"/>
      <c r="Z59" s="145"/>
      <c r="AA59" s="145"/>
      <c r="AB59" s="145"/>
      <c r="AC59" s="145"/>
      <c r="AD59" s="145"/>
    </row>
    <row r="60" ht="13.5" customHeight="1">
      <c r="A60" s="250"/>
      <c r="B60" s="248" t="s">
        <v>295</v>
      </c>
      <c r="C60" s="18"/>
      <c r="D60" s="18"/>
      <c r="E60" s="251"/>
      <c r="F60" s="252"/>
      <c r="G60" s="252"/>
      <c r="H60" s="252"/>
      <c r="I60" s="252"/>
      <c r="J60" s="252"/>
      <c r="K60" s="253"/>
      <c r="L60" s="252" t="s">
        <v>159</v>
      </c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145"/>
      <c r="Z60" s="145"/>
      <c r="AA60" s="145"/>
      <c r="AB60" s="145"/>
      <c r="AC60" s="145"/>
      <c r="AD60" s="145"/>
    </row>
    <row r="61" ht="13.5" customHeight="1">
      <c r="A61" s="250"/>
      <c r="B61" s="259" t="s">
        <v>296</v>
      </c>
      <c r="C61" s="260"/>
      <c r="D61" s="260"/>
      <c r="E61" s="251"/>
      <c r="F61" s="252"/>
      <c r="G61" s="252"/>
      <c r="H61" s="252"/>
      <c r="I61" s="252"/>
      <c r="J61" s="252"/>
      <c r="K61" s="253"/>
      <c r="L61" s="252"/>
      <c r="M61" s="252" t="s">
        <v>159</v>
      </c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145"/>
      <c r="Z61" s="145"/>
      <c r="AA61" s="145"/>
      <c r="AB61" s="145"/>
      <c r="AC61" s="145"/>
      <c r="AD61" s="145"/>
    </row>
    <row r="62" ht="13.5" customHeight="1">
      <c r="A62" s="250"/>
      <c r="B62" s="259" t="s">
        <v>297</v>
      </c>
      <c r="C62" s="260"/>
      <c r="D62" s="260"/>
      <c r="E62" s="251"/>
      <c r="F62" s="252"/>
      <c r="G62" s="252"/>
      <c r="H62" s="252"/>
      <c r="I62" s="252"/>
      <c r="J62" s="252"/>
      <c r="K62" s="253"/>
      <c r="L62" s="252"/>
      <c r="M62" s="253"/>
      <c r="N62" s="252" t="s">
        <v>159</v>
      </c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145"/>
      <c r="Z62" s="145"/>
      <c r="AA62" s="145"/>
      <c r="AB62" s="145"/>
      <c r="AC62" s="145"/>
      <c r="AD62" s="145"/>
    </row>
    <row r="63" ht="13.5" customHeight="1">
      <c r="A63" s="250"/>
      <c r="B63" s="259" t="s">
        <v>297</v>
      </c>
      <c r="C63" s="260"/>
      <c r="D63" s="260"/>
      <c r="E63" s="251"/>
      <c r="F63" s="252"/>
      <c r="G63" s="252"/>
      <c r="H63" s="252"/>
      <c r="I63" s="252"/>
      <c r="J63" s="252"/>
      <c r="K63" s="253"/>
      <c r="L63" s="252"/>
      <c r="M63" s="253"/>
      <c r="N63" s="253"/>
      <c r="O63" s="252" t="s">
        <v>159</v>
      </c>
      <c r="P63" s="253"/>
      <c r="Q63" s="253"/>
      <c r="R63" s="253"/>
      <c r="S63" s="253"/>
      <c r="T63" s="253"/>
      <c r="U63" s="253"/>
      <c r="V63" s="253"/>
      <c r="W63" s="253"/>
      <c r="X63" s="253"/>
      <c r="Y63" s="145"/>
      <c r="Z63" s="145"/>
      <c r="AA63" s="145"/>
      <c r="AB63" s="145"/>
      <c r="AC63" s="145"/>
      <c r="AD63" s="145"/>
    </row>
    <row r="64" ht="13.5" customHeight="1">
      <c r="A64" s="250"/>
      <c r="B64" s="259" t="s">
        <v>298</v>
      </c>
      <c r="C64" s="260"/>
      <c r="D64" s="260"/>
      <c r="E64" s="251"/>
      <c r="F64" s="252"/>
      <c r="G64" s="252"/>
      <c r="H64" s="252"/>
      <c r="I64" s="252"/>
      <c r="J64" s="252"/>
      <c r="K64" s="253"/>
      <c r="L64" s="252"/>
      <c r="M64" s="253"/>
      <c r="N64" s="253"/>
      <c r="O64" s="253"/>
      <c r="P64" s="252" t="s">
        <v>159</v>
      </c>
      <c r="Q64" s="253"/>
      <c r="R64" s="253"/>
      <c r="S64" s="253"/>
      <c r="T64" s="253"/>
      <c r="U64" s="253"/>
      <c r="V64" s="253"/>
      <c r="W64" s="253"/>
      <c r="X64" s="253"/>
      <c r="Y64" s="145"/>
      <c r="Z64" s="145"/>
      <c r="AA64" s="145"/>
      <c r="AB64" s="145"/>
      <c r="AC64" s="145"/>
      <c r="AD64" s="145"/>
    </row>
    <row r="65" ht="18.0" customHeight="1">
      <c r="A65" s="250"/>
      <c r="B65" s="259" t="s">
        <v>299</v>
      </c>
      <c r="C65" s="260"/>
      <c r="D65" s="260"/>
      <c r="E65" s="251"/>
      <c r="F65" s="252"/>
      <c r="G65" s="252"/>
      <c r="H65" s="252"/>
      <c r="I65" s="252"/>
      <c r="J65" s="252"/>
      <c r="K65" s="253"/>
      <c r="L65" s="252"/>
      <c r="M65" s="252"/>
      <c r="N65" s="252"/>
      <c r="O65" s="252"/>
      <c r="P65" s="252"/>
      <c r="Q65" s="252" t="s">
        <v>159</v>
      </c>
      <c r="R65" s="252"/>
      <c r="S65" s="252"/>
      <c r="T65" s="252"/>
      <c r="U65" s="252"/>
      <c r="V65" s="252"/>
      <c r="W65" s="252"/>
      <c r="X65" s="252"/>
      <c r="Y65" s="145"/>
      <c r="Z65" s="145"/>
      <c r="AA65" s="145"/>
      <c r="AB65" s="145"/>
      <c r="AC65" s="145"/>
      <c r="AD65" s="145"/>
    </row>
    <row r="66" ht="18.0" customHeight="1">
      <c r="A66" s="250"/>
      <c r="B66" s="259" t="s">
        <v>300</v>
      </c>
      <c r="C66" s="260"/>
      <c r="D66" s="260"/>
      <c r="E66" s="251"/>
      <c r="F66" s="252"/>
      <c r="G66" s="252"/>
      <c r="H66" s="252"/>
      <c r="I66" s="252"/>
      <c r="J66" s="252"/>
      <c r="K66" s="253"/>
      <c r="L66" s="252"/>
      <c r="M66" s="252"/>
      <c r="N66" s="252"/>
      <c r="O66" s="252"/>
      <c r="P66" s="252"/>
      <c r="Q66" s="252"/>
      <c r="R66" s="252" t="s">
        <v>159</v>
      </c>
      <c r="S66" s="252"/>
      <c r="T66" s="252"/>
      <c r="U66" s="252"/>
      <c r="V66" s="252"/>
      <c r="W66" s="252"/>
      <c r="X66" s="252"/>
      <c r="Y66" s="145"/>
      <c r="Z66" s="145"/>
      <c r="AA66" s="145"/>
      <c r="AB66" s="145"/>
      <c r="AC66" s="145"/>
      <c r="AD66" s="145"/>
    </row>
    <row r="67" ht="18.0" customHeight="1">
      <c r="A67" s="250"/>
      <c r="B67" s="259" t="s">
        <v>300</v>
      </c>
      <c r="C67" s="260"/>
      <c r="D67" s="260"/>
      <c r="E67" s="251"/>
      <c r="F67" s="252"/>
      <c r="G67" s="252"/>
      <c r="H67" s="252"/>
      <c r="I67" s="252"/>
      <c r="J67" s="252"/>
      <c r="K67" s="253"/>
      <c r="L67" s="252"/>
      <c r="M67" s="252"/>
      <c r="N67" s="252"/>
      <c r="O67" s="252"/>
      <c r="P67" s="252"/>
      <c r="Q67" s="252"/>
      <c r="R67" s="252"/>
      <c r="S67" s="252" t="s">
        <v>159</v>
      </c>
      <c r="T67" s="252"/>
      <c r="U67" s="252"/>
      <c r="V67" s="252"/>
      <c r="W67" s="252"/>
      <c r="X67" s="252"/>
      <c r="Y67" s="145"/>
      <c r="Z67" s="145"/>
      <c r="AA67" s="145"/>
      <c r="AB67" s="145"/>
      <c r="AC67" s="145"/>
      <c r="AD67" s="145"/>
    </row>
    <row r="68" ht="18.0" customHeight="1">
      <c r="A68" s="250"/>
      <c r="B68" s="259" t="s">
        <v>301</v>
      </c>
      <c r="C68" s="260"/>
      <c r="D68" s="260"/>
      <c r="E68" s="251"/>
      <c r="F68" s="252"/>
      <c r="G68" s="252"/>
      <c r="H68" s="252"/>
      <c r="I68" s="252"/>
      <c r="J68" s="252"/>
      <c r="K68" s="253"/>
      <c r="L68" s="252"/>
      <c r="M68" s="252"/>
      <c r="N68" s="252"/>
      <c r="O68" s="252"/>
      <c r="P68" s="252"/>
      <c r="Q68" s="252"/>
      <c r="R68" s="252"/>
      <c r="S68" s="252"/>
      <c r="T68" s="252" t="s">
        <v>159</v>
      </c>
      <c r="U68" s="252"/>
      <c r="V68" s="252"/>
      <c r="W68" s="252"/>
      <c r="X68" s="252"/>
      <c r="Y68" s="145"/>
      <c r="Z68" s="145"/>
      <c r="AA68" s="145"/>
      <c r="AB68" s="145"/>
      <c r="AC68" s="145"/>
      <c r="AD68" s="145"/>
    </row>
    <row r="69" ht="18.0" customHeight="1">
      <c r="A69" s="250"/>
      <c r="B69" s="259" t="s">
        <v>302</v>
      </c>
      <c r="C69" s="260"/>
      <c r="D69" s="260"/>
      <c r="E69" s="251"/>
      <c r="F69" s="252"/>
      <c r="G69" s="252"/>
      <c r="H69" s="252"/>
      <c r="I69" s="252"/>
      <c r="J69" s="252"/>
      <c r="K69" s="253"/>
      <c r="L69" s="252"/>
      <c r="M69" s="252"/>
      <c r="N69" s="252"/>
      <c r="O69" s="252"/>
      <c r="P69" s="252"/>
      <c r="Q69" s="252"/>
      <c r="R69" s="252"/>
      <c r="S69" s="252"/>
      <c r="T69" s="252"/>
      <c r="U69" s="252" t="s">
        <v>159</v>
      </c>
      <c r="V69" s="252"/>
      <c r="W69" s="252"/>
      <c r="X69" s="252"/>
      <c r="Y69" s="145"/>
      <c r="Z69" s="145"/>
      <c r="AA69" s="145"/>
      <c r="AB69" s="145"/>
      <c r="AC69" s="145"/>
      <c r="AD69" s="145"/>
    </row>
    <row r="70" ht="18.0" customHeight="1">
      <c r="A70" s="250"/>
      <c r="B70" s="259" t="s">
        <v>303</v>
      </c>
      <c r="C70" s="260"/>
      <c r="D70" s="260"/>
      <c r="E70" s="251"/>
      <c r="F70" s="252"/>
      <c r="G70" s="252"/>
      <c r="H70" s="252"/>
      <c r="I70" s="252"/>
      <c r="J70" s="252"/>
      <c r="K70" s="253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 t="s">
        <v>159</v>
      </c>
      <c r="W70" s="252"/>
      <c r="X70" s="252"/>
      <c r="Y70" s="145"/>
      <c r="Z70" s="145"/>
      <c r="AA70" s="145"/>
      <c r="AB70" s="145"/>
      <c r="AC70" s="145"/>
      <c r="AD70" s="145"/>
    </row>
    <row r="71" ht="18.0" customHeight="1">
      <c r="A71" s="250"/>
      <c r="B71" s="259" t="s">
        <v>304</v>
      </c>
      <c r="C71" s="260"/>
      <c r="D71" s="260"/>
      <c r="E71" s="251"/>
      <c r="F71" s="252"/>
      <c r="G71" s="252"/>
      <c r="H71" s="252"/>
      <c r="I71" s="252"/>
      <c r="J71" s="252"/>
      <c r="K71" s="253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 t="s">
        <v>159</v>
      </c>
      <c r="X71" s="252"/>
      <c r="Y71" s="145"/>
      <c r="Z71" s="145"/>
      <c r="AA71" s="145"/>
      <c r="AB71" s="145"/>
      <c r="AC71" s="145"/>
      <c r="AD71" s="145"/>
    </row>
    <row r="72" ht="18.0" customHeight="1">
      <c r="A72" s="250"/>
      <c r="B72" s="259" t="s">
        <v>305</v>
      </c>
      <c r="C72" s="260"/>
      <c r="D72" s="260"/>
      <c r="E72" s="251"/>
      <c r="F72" s="252"/>
      <c r="G72" s="252"/>
      <c r="H72" s="252"/>
      <c r="I72" s="252"/>
      <c r="J72" s="252"/>
      <c r="K72" s="253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 t="s">
        <v>159</v>
      </c>
      <c r="Y72" s="145"/>
      <c r="Z72" s="145"/>
      <c r="AA72" s="145"/>
      <c r="AB72" s="145"/>
      <c r="AC72" s="145"/>
      <c r="AD72" s="145"/>
    </row>
    <row r="73" ht="18.0" customHeight="1">
      <c r="A73" s="250"/>
      <c r="B73" s="254" t="s">
        <v>306</v>
      </c>
      <c r="C73" s="241"/>
      <c r="D73" s="241"/>
      <c r="E73" s="251"/>
      <c r="F73" s="252"/>
      <c r="G73" s="252"/>
      <c r="H73" s="252"/>
      <c r="I73" s="252"/>
      <c r="J73" s="252"/>
      <c r="K73" s="253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145"/>
      <c r="Z73" s="145"/>
      <c r="AA73" s="145"/>
      <c r="AB73" s="145"/>
      <c r="AC73" s="145"/>
      <c r="AD73" s="145"/>
    </row>
    <row r="74" ht="13.5" customHeight="1">
      <c r="A74" s="207" t="s">
        <v>184</v>
      </c>
      <c r="B74" s="255" t="s">
        <v>185</v>
      </c>
      <c r="C74" s="256"/>
      <c r="D74" s="257"/>
      <c r="E74" s="229"/>
      <c r="F74" s="230" t="s">
        <v>83</v>
      </c>
      <c r="G74" s="230" t="s">
        <v>84</v>
      </c>
      <c r="H74" s="230" t="s">
        <v>84</v>
      </c>
      <c r="I74" s="230" t="s">
        <v>84</v>
      </c>
      <c r="J74" s="230" t="s">
        <v>84</v>
      </c>
      <c r="K74" s="230" t="s">
        <v>65</v>
      </c>
      <c r="L74" s="230" t="s">
        <v>65</v>
      </c>
      <c r="M74" s="230" t="s">
        <v>84</v>
      </c>
      <c r="N74" s="230" t="s">
        <v>84</v>
      </c>
      <c r="O74" s="230" t="s">
        <v>65</v>
      </c>
      <c r="P74" s="230" t="s">
        <v>65</v>
      </c>
      <c r="Q74" s="230" t="s">
        <v>65</v>
      </c>
      <c r="R74" s="230" t="s">
        <v>84</v>
      </c>
      <c r="S74" s="230" t="s">
        <v>84</v>
      </c>
      <c r="T74" s="230" t="s">
        <v>84</v>
      </c>
      <c r="U74" s="230" t="s">
        <v>84</v>
      </c>
      <c r="V74" s="230" t="s">
        <v>65</v>
      </c>
      <c r="W74" s="230" t="s">
        <v>65</v>
      </c>
      <c r="X74" s="230" t="s">
        <v>84</v>
      </c>
      <c r="Y74" s="145"/>
      <c r="Z74" s="145"/>
      <c r="AA74" s="145"/>
      <c r="AB74" s="145"/>
      <c r="AC74" s="145"/>
      <c r="AD74" s="145"/>
    </row>
    <row r="75" ht="13.5" customHeight="1">
      <c r="A75" s="212"/>
      <c r="B75" s="232" t="s">
        <v>186</v>
      </c>
      <c r="C75" s="18"/>
      <c r="D75" s="19"/>
      <c r="E75" s="233"/>
      <c r="F75" s="234" t="s">
        <v>187</v>
      </c>
      <c r="G75" s="234" t="s">
        <v>187</v>
      </c>
      <c r="H75" s="234" t="s">
        <v>187</v>
      </c>
      <c r="I75" s="234" t="s">
        <v>187</v>
      </c>
      <c r="J75" s="234" t="s">
        <v>187</v>
      </c>
      <c r="K75" s="235" t="s">
        <v>187</v>
      </c>
      <c r="L75" s="235" t="s">
        <v>187</v>
      </c>
      <c r="M75" s="235" t="s">
        <v>187</v>
      </c>
      <c r="N75" s="235" t="s">
        <v>187</v>
      </c>
      <c r="O75" s="235" t="s">
        <v>187</v>
      </c>
      <c r="P75" s="235" t="s">
        <v>187</v>
      </c>
      <c r="Q75" s="235" t="s">
        <v>187</v>
      </c>
      <c r="R75" s="235" t="s">
        <v>187</v>
      </c>
      <c r="S75" s="235" t="s">
        <v>187</v>
      </c>
      <c r="T75" s="235" t="s">
        <v>187</v>
      </c>
      <c r="U75" s="235" t="s">
        <v>187</v>
      </c>
      <c r="V75" s="235" t="s">
        <v>187</v>
      </c>
      <c r="W75" s="235" t="s">
        <v>187</v>
      </c>
      <c r="X75" s="235" t="s">
        <v>187</v>
      </c>
      <c r="Y75" s="145"/>
      <c r="Z75" s="145"/>
      <c r="AA75" s="145"/>
      <c r="AB75" s="145"/>
      <c r="AC75" s="145"/>
      <c r="AD75" s="145"/>
    </row>
    <row r="76" ht="13.5" customHeight="1">
      <c r="A76" s="212"/>
      <c r="B76" s="236" t="s">
        <v>188</v>
      </c>
      <c r="C76" s="18"/>
      <c r="D76" s="19"/>
      <c r="E76" s="237"/>
      <c r="F76" s="238">
        <v>45991.0</v>
      </c>
      <c r="G76" s="238">
        <v>45991.0</v>
      </c>
      <c r="H76" s="238">
        <v>45991.0</v>
      </c>
      <c r="I76" s="238">
        <v>45991.0</v>
      </c>
      <c r="J76" s="238">
        <v>45991.0</v>
      </c>
      <c r="K76" s="238">
        <v>45991.0</v>
      </c>
      <c r="L76" s="238">
        <v>45991.0</v>
      </c>
      <c r="M76" s="238">
        <v>45991.0</v>
      </c>
      <c r="N76" s="238">
        <v>45991.0</v>
      </c>
      <c r="O76" s="238">
        <v>45991.0</v>
      </c>
      <c r="P76" s="238">
        <v>45991.0</v>
      </c>
      <c r="Q76" s="238">
        <v>45991.0</v>
      </c>
      <c r="R76" s="238">
        <v>45991.0</v>
      </c>
      <c r="S76" s="238">
        <v>45991.0</v>
      </c>
      <c r="T76" s="238">
        <v>45991.0</v>
      </c>
      <c r="U76" s="238">
        <v>45991.0</v>
      </c>
      <c r="V76" s="238">
        <v>45991.0</v>
      </c>
      <c r="W76" s="238">
        <v>45991.0</v>
      </c>
      <c r="X76" s="238">
        <v>45991.0</v>
      </c>
      <c r="Y76" s="145"/>
      <c r="Z76" s="145"/>
      <c r="AA76" s="145"/>
      <c r="AB76" s="145"/>
      <c r="AC76" s="145"/>
      <c r="AD76" s="145"/>
    </row>
    <row r="77" ht="79.5" customHeight="1">
      <c r="A77" s="239"/>
      <c r="B77" s="240" t="s">
        <v>189</v>
      </c>
      <c r="C77" s="241"/>
      <c r="D77" s="242"/>
      <c r="E77" s="243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4"/>
      <c r="S77" s="244"/>
      <c r="T77" s="244"/>
      <c r="U77" s="244"/>
      <c r="V77" s="244"/>
      <c r="W77" s="244"/>
      <c r="X77" s="244"/>
      <c r="Y77" s="145"/>
      <c r="Z77" s="145"/>
      <c r="AA77" s="145"/>
      <c r="AB77" s="145"/>
      <c r="AC77" s="145"/>
      <c r="AD77" s="145"/>
    </row>
    <row r="78" ht="12.0" customHeight="1">
      <c r="A78" s="2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  <c r="AC294" s="145"/>
      <c r="AD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  <c r="AC296" s="145"/>
      <c r="AD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  <c r="AC297" s="145"/>
      <c r="AD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  <c r="AC298" s="145"/>
      <c r="AD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  <c r="AC299" s="145"/>
      <c r="AD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C300" s="145"/>
      <c r="AD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  <c r="AC301" s="145"/>
      <c r="AD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  <c r="AC302" s="145"/>
      <c r="AD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  <c r="AC303" s="145"/>
      <c r="AD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  <c r="AC304" s="145"/>
      <c r="AD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  <c r="AC305" s="145"/>
      <c r="AD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  <c r="AC306" s="145"/>
      <c r="AD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  <c r="AC307" s="145"/>
      <c r="AD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  <c r="AC308" s="145"/>
      <c r="AD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  <c r="AC309" s="145"/>
      <c r="AD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  <c r="AC310" s="145"/>
      <c r="AD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  <c r="AC311" s="145"/>
      <c r="AD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  <c r="AC312" s="145"/>
      <c r="AD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  <c r="AC313" s="145"/>
      <c r="AD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  <c r="AC314" s="145"/>
      <c r="AD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  <c r="AC315" s="145"/>
      <c r="AD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  <c r="AC316" s="145"/>
      <c r="AD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  <c r="AC317" s="145"/>
      <c r="AD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  <c r="AC318" s="145"/>
      <c r="AD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  <c r="AC319" s="145"/>
      <c r="AD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  <c r="AC324" s="145"/>
      <c r="AD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  <c r="AC326" s="145"/>
      <c r="AD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  <c r="AC341" s="145"/>
      <c r="AD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  <c r="AC344" s="145"/>
      <c r="AD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  <c r="AC348" s="145"/>
      <c r="AD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  <c r="AC349" s="145"/>
      <c r="AD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  <c r="AC350" s="145"/>
      <c r="AD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  <c r="AC351" s="145"/>
      <c r="AD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  <c r="AC352" s="145"/>
      <c r="AD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  <c r="AC353" s="145"/>
      <c r="AD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  <c r="AC354" s="145"/>
      <c r="AD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  <c r="AC355" s="145"/>
      <c r="AD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  <c r="AC356" s="145"/>
      <c r="AD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  <c r="AC357" s="145"/>
      <c r="AD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  <c r="AC358" s="145"/>
      <c r="AD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  <c r="AC359" s="145"/>
      <c r="AD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  <c r="AC360" s="145"/>
      <c r="AD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145"/>
      <c r="AD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145"/>
      <c r="AD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  <c r="AC364" s="145"/>
      <c r="AD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  <c r="AC365" s="145"/>
      <c r="AD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145"/>
      <c r="AD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  <c r="AC367" s="145"/>
      <c r="AD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  <c r="AC368" s="145"/>
      <c r="AD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145"/>
      <c r="AD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145"/>
      <c r="AD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  <c r="AC372" s="145"/>
      <c r="AD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  <c r="AC373" s="145"/>
      <c r="AD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  <c r="AC374" s="145"/>
      <c r="AD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  <c r="AC375" s="145"/>
      <c r="AD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145"/>
      <c r="AD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  <c r="AC377" s="145"/>
      <c r="AD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  <c r="AC378" s="145"/>
      <c r="AD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  <c r="AC379" s="145"/>
      <c r="AD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  <c r="AC380" s="145"/>
      <c r="AD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  <c r="AC382" s="145"/>
      <c r="AD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  <c r="AC383" s="145"/>
      <c r="AD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  <c r="AC384" s="145"/>
      <c r="AD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  <c r="AC385" s="145"/>
      <c r="AD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145"/>
      <c r="AD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  <c r="AC387" s="145"/>
      <c r="AD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  <c r="AC388" s="145"/>
      <c r="AD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  <c r="AC389" s="145"/>
      <c r="AD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  <c r="AC390" s="145"/>
      <c r="AD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  <c r="AC391" s="145"/>
      <c r="AD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  <c r="AC392" s="145"/>
      <c r="AD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  <c r="AC393" s="145"/>
      <c r="AD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  <c r="AC394" s="145"/>
      <c r="AD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  <c r="AC395" s="145"/>
      <c r="AD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  <c r="AC396" s="145"/>
      <c r="AD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  <c r="AC397" s="145"/>
      <c r="AD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  <c r="AC398" s="145"/>
      <c r="AD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  <c r="AC399" s="145"/>
      <c r="AD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  <c r="AC400" s="145"/>
      <c r="AD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  <c r="AC401" s="145"/>
      <c r="AD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  <c r="AC402" s="145"/>
      <c r="AD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  <c r="AC403" s="145"/>
      <c r="AD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  <c r="AC404" s="145"/>
      <c r="AD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  <c r="AC406" s="145"/>
      <c r="AD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  <c r="AC407" s="145"/>
      <c r="AD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  <c r="AC408" s="145"/>
      <c r="AD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  <c r="AC409" s="145"/>
      <c r="AD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  <c r="AC410" s="145"/>
      <c r="AD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  <c r="AC411" s="145"/>
      <c r="AD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  <c r="AC412" s="145"/>
      <c r="AD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  <c r="AC414" s="145"/>
      <c r="AD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  <c r="AC415" s="145"/>
      <c r="AD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  <c r="AC416" s="145"/>
      <c r="AD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  <c r="AC417" s="145"/>
      <c r="AD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  <c r="AC418" s="145"/>
      <c r="AD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  <c r="AC419" s="145"/>
      <c r="AD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  <c r="AC420" s="145"/>
      <c r="AD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  <c r="AC421" s="145"/>
      <c r="AD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  <c r="AC422" s="145"/>
      <c r="AD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  <c r="AC423" s="145"/>
      <c r="AD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  <c r="AC424" s="145"/>
      <c r="AD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  <c r="AC426" s="145"/>
      <c r="AD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  <c r="AC427" s="145"/>
      <c r="AD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  <c r="AC428" s="145"/>
      <c r="AD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  <c r="AC429" s="145"/>
      <c r="AD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  <c r="AC431" s="145"/>
      <c r="AD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  <c r="AC432" s="145"/>
      <c r="AD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  <c r="AC433" s="145"/>
      <c r="AD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  <c r="AC434" s="145"/>
      <c r="AD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  <c r="AC435" s="145"/>
      <c r="AD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  <c r="AC437" s="145"/>
      <c r="AD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  <c r="AC438" s="145"/>
      <c r="AD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  <c r="AC439" s="145"/>
      <c r="AD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  <c r="AC454" s="145"/>
      <c r="AD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  <c r="AC455" s="145"/>
      <c r="AD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  <c r="AC457" s="145"/>
      <c r="AD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  <c r="AC458" s="145"/>
      <c r="AD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  <c r="AC459" s="145"/>
      <c r="AD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  <c r="AC460" s="145"/>
      <c r="AD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  <c r="AC461" s="145"/>
      <c r="AD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  <c r="AC462" s="145"/>
      <c r="AD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  <c r="AC463" s="145"/>
      <c r="AD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  <c r="AC464" s="145"/>
      <c r="AD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  <c r="AC465" s="145"/>
      <c r="AD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  <c r="AC466" s="145"/>
      <c r="AD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  <c r="AC467" s="145"/>
      <c r="AD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  <c r="AC469" s="145"/>
      <c r="AD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  <c r="AC471" s="145"/>
      <c r="AD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  <c r="AC473" s="145"/>
      <c r="AD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  <c r="AC474" s="145"/>
      <c r="AD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  <c r="AC475" s="145"/>
      <c r="AD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  <c r="AC476" s="145"/>
      <c r="AD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  <c r="AC477" s="145"/>
      <c r="AD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  <c r="AC480" s="145"/>
      <c r="AD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  <c r="AC481" s="145"/>
      <c r="AD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  <c r="AC483" s="145"/>
      <c r="AD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  <c r="AC486" s="145"/>
      <c r="AD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  <c r="AC488" s="145"/>
      <c r="AD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  <c r="AC497" s="145"/>
      <c r="AD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  <c r="AC502" s="145"/>
      <c r="AD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  <c r="AC504" s="145"/>
      <c r="AD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  <c r="AC505" s="145"/>
      <c r="AD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  <c r="AC506" s="145"/>
      <c r="AD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  <c r="AC507" s="145"/>
      <c r="AD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  <c r="AC508" s="145"/>
      <c r="AD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  <c r="AC509" s="145"/>
      <c r="AD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  <c r="AC510" s="145"/>
      <c r="AD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  <c r="AC511" s="145"/>
      <c r="AD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  <c r="AC512" s="145"/>
      <c r="AD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  <c r="AC528" s="145"/>
      <c r="AD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  <c r="AC529" s="145"/>
      <c r="AD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  <c r="AC530" s="145"/>
      <c r="AD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  <c r="AC531" s="145"/>
      <c r="AD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  <c r="AC532" s="145"/>
      <c r="AD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  <c r="AC533" s="145"/>
      <c r="AD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  <c r="AC534" s="145"/>
      <c r="AD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  <c r="AC535" s="145"/>
      <c r="AD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  <c r="AC536" s="145"/>
      <c r="AD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  <c r="AC537" s="145"/>
      <c r="AD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  <c r="AC538" s="145"/>
      <c r="AD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  <c r="AC539" s="145"/>
      <c r="AD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  <c r="AC541" s="145"/>
      <c r="AD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  <c r="AC542" s="145"/>
      <c r="AD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  <c r="AC543" s="145"/>
      <c r="AD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  <c r="AC544" s="145"/>
      <c r="AD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  <c r="AC545" s="145"/>
      <c r="AD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  <c r="AC546" s="145"/>
      <c r="AD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  <c r="AC547" s="145"/>
      <c r="AD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  <c r="AC548" s="145"/>
      <c r="AD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  <c r="AC549" s="145"/>
      <c r="AD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  <c r="AC550" s="145"/>
      <c r="AD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  <c r="AC551" s="145"/>
      <c r="AD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  <c r="AC552" s="145"/>
      <c r="AD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  <c r="AC553" s="145"/>
      <c r="AD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  <c r="AC554" s="145"/>
      <c r="AD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  <c r="AC555" s="145"/>
      <c r="AD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  <c r="AC556" s="145"/>
      <c r="AD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  <c r="AC557" s="145"/>
      <c r="AD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  <c r="AC558" s="145"/>
      <c r="AD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  <c r="AC559" s="145"/>
      <c r="AD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  <c r="AC560" s="145"/>
      <c r="AD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  <c r="AC561" s="145"/>
      <c r="AD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  <c r="AC562" s="145"/>
      <c r="AD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  <c r="AC563" s="145"/>
      <c r="AD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  <c r="AC564" s="145"/>
      <c r="AD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  <c r="AC565" s="145"/>
      <c r="AD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  <c r="AC566" s="145"/>
      <c r="AD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  <c r="AC567" s="145"/>
      <c r="AD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  <c r="AC568" s="145"/>
      <c r="AD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  <c r="AC569" s="145"/>
      <c r="AD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  <c r="AC570" s="145"/>
      <c r="AD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  <c r="AC571" s="145"/>
      <c r="AD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  <c r="AC572" s="145"/>
      <c r="AD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  <c r="AC573" s="145"/>
      <c r="AD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  <c r="AC574" s="145"/>
      <c r="AD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  <c r="AC575" s="145"/>
      <c r="AD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  <c r="AC576" s="145"/>
      <c r="AD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  <c r="AC577" s="145"/>
      <c r="AD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  <c r="AC578" s="145"/>
      <c r="AD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  <c r="AC579" s="145"/>
      <c r="AD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  <c r="AC580" s="145"/>
      <c r="AD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  <c r="AC581" s="145"/>
      <c r="AD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  <c r="AC582" s="145"/>
      <c r="AD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  <c r="AC583" s="145"/>
      <c r="AD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  <c r="AC584" s="145"/>
      <c r="AD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  <c r="AC585" s="145"/>
      <c r="AD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  <c r="AC586" s="145"/>
      <c r="AD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  <c r="AC587" s="145"/>
      <c r="AD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  <c r="AC588" s="145"/>
      <c r="AD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  <c r="AC589" s="145"/>
      <c r="AD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  <c r="AC590" s="145"/>
      <c r="AD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  <c r="AC591" s="145"/>
      <c r="AD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  <c r="AC592" s="145"/>
      <c r="AD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  <c r="AC593" s="145"/>
      <c r="AD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  <c r="AC594" s="145"/>
      <c r="AD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  <c r="AC595" s="145"/>
      <c r="AD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  <c r="AC596" s="145"/>
      <c r="AD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  <c r="AC597" s="145"/>
      <c r="AD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  <c r="AC598" s="145"/>
      <c r="AD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  <c r="AC599" s="145"/>
      <c r="AD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  <c r="AC600" s="145"/>
      <c r="AD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  <c r="AC601" s="145"/>
      <c r="AD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  <c r="AC602" s="145"/>
      <c r="AD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  <c r="AC603" s="145"/>
      <c r="AD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  <c r="AC605" s="145"/>
      <c r="AD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  <c r="AC606" s="145"/>
      <c r="AD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  <c r="AC607" s="145"/>
      <c r="AD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  <c r="AC608" s="145"/>
      <c r="AD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  <c r="AC609" s="145"/>
      <c r="AD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  <c r="AC610" s="145"/>
      <c r="AD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  <c r="AC611" s="145"/>
      <c r="AD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  <c r="AC612" s="145"/>
      <c r="AD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  <c r="AC613" s="145"/>
      <c r="AD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  <c r="AC615" s="145"/>
      <c r="AD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  <c r="AC616" s="145"/>
      <c r="AD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  <c r="AC617" s="145"/>
      <c r="AD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  <c r="AC618" s="145"/>
      <c r="AD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  <c r="AC619" s="145"/>
      <c r="AD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  <c r="AC620" s="145"/>
      <c r="AD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  <c r="AC621" s="145"/>
      <c r="AD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  <c r="AC622" s="145"/>
      <c r="AD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  <c r="AC623" s="145"/>
      <c r="AD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  <c r="AC624" s="145"/>
      <c r="AD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  <c r="AC625" s="145"/>
      <c r="AD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  <c r="AC626" s="145"/>
      <c r="AD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  <c r="AC627" s="145"/>
      <c r="AD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  <c r="AC628" s="145"/>
      <c r="AD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  <c r="AC629" s="145"/>
      <c r="AD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  <c r="AC630" s="145"/>
      <c r="AD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  <c r="AC631" s="145"/>
      <c r="AD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  <c r="AC632" s="145"/>
      <c r="AD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  <c r="AC633" s="145"/>
      <c r="AD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  <c r="AC634" s="145"/>
      <c r="AD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  <c r="AC635" s="145"/>
      <c r="AD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  <c r="AC636" s="145"/>
      <c r="AD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  <c r="AC637" s="145"/>
      <c r="AD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  <c r="AC638" s="145"/>
      <c r="AD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  <c r="AC639" s="145"/>
      <c r="AD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  <c r="AC640" s="145"/>
      <c r="AD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  <c r="AC641" s="145"/>
      <c r="AD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  <c r="AC642" s="145"/>
      <c r="AD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  <c r="AC643" s="145"/>
      <c r="AD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  <c r="AC644" s="145"/>
      <c r="AD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  <c r="AC645" s="145"/>
      <c r="AD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  <c r="AC646" s="145"/>
      <c r="AD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  <c r="AC647" s="145"/>
      <c r="AD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  <c r="AC648" s="145"/>
      <c r="AD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  <c r="AC649" s="145"/>
      <c r="AD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  <c r="AC650" s="145"/>
      <c r="AD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  <c r="AC651" s="145"/>
      <c r="AD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  <c r="AC652" s="145"/>
      <c r="AD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  <c r="AC653" s="145"/>
      <c r="AD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  <c r="AC654" s="145"/>
      <c r="AD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  <c r="AC655" s="145"/>
      <c r="AD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  <c r="AC656" s="145"/>
      <c r="AD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  <c r="AC657" s="145"/>
      <c r="AD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  <c r="AC658" s="145"/>
      <c r="AD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  <c r="AC659" s="145"/>
      <c r="AD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  <c r="AC660" s="145"/>
      <c r="AD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  <c r="AC661" s="145"/>
      <c r="AD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  <c r="AC662" s="145"/>
      <c r="AD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  <c r="AC663" s="145"/>
      <c r="AD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  <c r="AC664" s="145"/>
      <c r="AD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  <c r="AC665" s="145"/>
      <c r="AD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  <c r="AC666" s="145"/>
      <c r="AD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  <c r="AC667" s="145"/>
      <c r="AD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  <c r="AC668" s="145"/>
      <c r="AD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  <c r="AC669" s="145"/>
      <c r="AD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  <c r="AC670" s="145"/>
      <c r="AD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  <c r="AC671" s="145"/>
      <c r="AD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  <c r="AC672" s="145"/>
      <c r="AD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  <c r="AC673" s="145"/>
      <c r="AD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  <c r="AC674" s="145"/>
      <c r="AD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  <c r="AC675" s="145"/>
      <c r="AD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  <c r="AC676" s="145"/>
      <c r="AD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  <c r="AC677" s="145"/>
      <c r="AD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  <c r="AC678" s="145"/>
      <c r="AD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  <c r="AC679" s="145"/>
      <c r="AD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  <c r="AC680" s="145"/>
      <c r="AD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  <c r="AC681" s="145"/>
      <c r="AD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  <c r="AC682" s="145"/>
      <c r="AD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  <c r="AC683" s="145"/>
      <c r="AD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  <c r="AC684" s="145"/>
      <c r="AD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  <c r="AC685" s="145"/>
      <c r="AD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  <c r="AC686" s="145"/>
      <c r="AD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  <c r="AC687" s="145"/>
      <c r="AD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  <c r="AC688" s="145"/>
      <c r="AD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  <c r="AC689" s="145"/>
      <c r="AD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  <c r="AC690" s="145"/>
      <c r="AD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  <c r="AC691" s="145"/>
      <c r="AD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  <c r="AC692" s="145"/>
      <c r="AD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  <c r="AC693" s="145"/>
      <c r="AD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  <c r="AC694" s="145"/>
      <c r="AD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  <c r="AC695" s="145"/>
      <c r="AD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  <c r="AC696" s="145"/>
      <c r="AD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  <c r="AC697" s="145"/>
      <c r="AD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  <c r="AC698" s="145"/>
      <c r="AD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  <c r="AC699" s="145"/>
      <c r="AD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  <c r="AC700" s="145"/>
      <c r="AD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  <c r="AC701" s="145"/>
      <c r="AD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  <c r="AC702" s="145"/>
      <c r="AD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  <c r="AC703" s="145"/>
      <c r="AD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  <c r="AC704" s="145"/>
      <c r="AD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  <c r="AC705" s="145"/>
      <c r="AD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  <c r="AC706" s="145"/>
      <c r="AD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  <c r="AC707" s="145"/>
      <c r="AD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  <c r="AC708" s="145"/>
      <c r="AD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  <c r="AC709" s="145"/>
      <c r="AD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  <c r="AC710" s="145"/>
      <c r="AD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  <c r="AC711" s="145"/>
      <c r="AD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  <c r="AC712" s="145"/>
      <c r="AD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  <c r="AC713" s="145"/>
      <c r="AD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  <c r="AC714" s="145"/>
      <c r="AD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  <c r="AC715" s="145"/>
      <c r="AD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  <c r="AC716" s="145"/>
      <c r="AD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  <c r="AC717" s="145"/>
      <c r="AD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  <c r="AC718" s="145"/>
      <c r="AD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  <c r="AC719" s="145"/>
      <c r="AD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  <c r="AC720" s="145"/>
      <c r="AD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  <c r="AC721" s="145"/>
      <c r="AD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  <c r="AC722" s="145"/>
      <c r="AD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  <c r="AC723" s="145"/>
      <c r="AD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  <c r="AC724" s="145"/>
      <c r="AD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  <c r="AC725" s="145"/>
      <c r="AD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  <c r="AC726" s="145"/>
      <c r="AD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  <c r="AC727" s="145"/>
      <c r="AD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  <c r="AC728" s="145"/>
      <c r="AD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  <c r="AC729" s="145"/>
      <c r="AD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  <c r="AC730" s="145"/>
      <c r="AD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  <c r="AC731" s="145"/>
      <c r="AD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  <c r="AC732" s="145"/>
      <c r="AD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  <c r="AC733" s="145"/>
      <c r="AD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  <c r="AC734" s="145"/>
      <c r="AD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  <c r="AC735" s="145"/>
      <c r="AD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  <c r="AC736" s="145"/>
      <c r="AD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  <c r="AC737" s="145"/>
      <c r="AD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  <c r="AC738" s="145"/>
      <c r="AD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  <c r="AC739" s="145"/>
      <c r="AD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  <c r="AC740" s="145"/>
      <c r="AD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  <c r="AC741" s="145"/>
      <c r="AD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  <c r="AC742" s="145"/>
      <c r="AD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  <c r="AC743" s="145"/>
      <c r="AD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  <c r="AC744" s="145"/>
      <c r="AD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  <c r="AC745" s="145"/>
      <c r="AD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  <c r="AC746" s="145"/>
      <c r="AD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  <c r="AC747" s="145"/>
      <c r="AD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  <c r="AC748" s="145"/>
      <c r="AD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  <c r="AC749" s="145"/>
      <c r="AD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  <c r="AC750" s="145"/>
      <c r="AD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  <c r="AC751" s="145"/>
      <c r="AD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  <c r="AC752" s="145"/>
      <c r="AD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  <c r="AC753" s="145"/>
      <c r="AD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  <c r="AC754" s="145"/>
      <c r="AD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  <c r="AC755" s="145"/>
      <c r="AD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  <c r="AC756" s="145"/>
      <c r="AD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  <c r="AC757" s="145"/>
      <c r="AD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  <c r="AC758" s="145"/>
      <c r="AD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  <c r="AC759" s="145"/>
      <c r="AD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  <c r="AC760" s="145"/>
      <c r="AD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  <c r="AC761" s="145"/>
      <c r="AD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  <c r="AC762" s="145"/>
      <c r="AD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  <c r="AC763" s="145"/>
      <c r="AD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  <c r="AC764" s="145"/>
      <c r="AD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  <c r="AC765" s="145"/>
      <c r="AD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  <c r="AC766" s="145"/>
      <c r="AD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  <c r="AC767" s="145"/>
      <c r="AD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  <c r="AC768" s="145"/>
      <c r="AD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  <c r="AC769" s="145"/>
      <c r="AD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  <c r="AC770" s="145"/>
      <c r="AD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  <c r="AC771" s="145"/>
      <c r="AD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  <c r="AC772" s="145"/>
      <c r="AD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  <c r="AC773" s="145"/>
      <c r="AD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  <c r="AC774" s="145"/>
      <c r="AD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  <c r="AC775" s="145"/>
      <c r="AD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  <c r="AC776" s="145"/>
      <c r="AD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  <c r="AC777" s="145"/>
      <c r="AD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  <c r="AC778" s="145"/>
      <c r="AD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  <c r="AC779" s="145"/>
      <c r="AD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  <c r="AC780" s="145"/>
      <c r="AD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  <c r="AC781" s="145"/>
      <c r="AD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  <c r="AC782" s="145"/>
      <c r="AD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  <c r="AC783" s="145"/>
      <c r="AD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  <c r="AC784" s="145"/>
      <c r="AD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  <c r="AC785" s="145"/>
      <c r="AD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  <c r="AC786" s="145"/>
      <c r="AD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  <c r="AC787" s="145"/>
      <c r="AD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  <c r="AC788" s="145"/>
      <c r="AD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  <c r="AC789" s="145"/>
      <c r="AD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  <c r="AC790" s="145"/>
      <c r="AD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  <c r="AC791" s="145"/>
      <c r="AD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  <c r="AC792" s="145"/>
      <c r="AD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  <c r="AC793" s="145"/>
      <c r="AD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  <c r="AC794" s="145"/>
      <c r="AD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  <c r="AC795" s="145"/>
      <c r="AD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  <c r="AC796" s="145"/>
      <c r="AD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  <c r="AC797" s="145"/>
      <c r="AD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  <c r="AC798" s="145"/>
      <c r="AD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  <c r="AC799" s="145"/>
      <c r="AD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  <c r="AC800" s="145"/>
      <c r="AD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  <c r="AC801" s="145"/>
      <c r="AD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  <c r="AC802" s="145"/>
      <c r="AD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  <c r="AC803" s="145"/>
      <c r="AD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  <c r="AC804" s="145"/>
      <c r="AD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  <c r="AC805" s="145"/>
      <c r="AD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  <c r="AC806" s="145"/>
      <c r="AD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  <c r="AC807" s="145"/>
      <c r="AD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  <c r="AC808" s="145"/>
      <c r="AD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  <c r="AC810" s="145"/>
      <c r="AD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  <c r="AC811" s="145"/>
      <c r="AD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  <c r="AC812" s="145"/>
      <c r="AD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  <c r="AC813" s="145"/>
      <c r="AD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  <c r="AC814" s="145"/>
      <c r="AD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  <c r="AC815" s="145"/>
      <c r="AD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  <c r="AC816" s="145"/>
      <c r="AD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  <c r="AC817" s="145"/>
      <c r="AD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  <c r="AC818" s="145"/>
      <c r="AD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  <c r="AC819" s="145"/>
      <c r="AD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  <c r="AC820" s="145"/>
      <c r="AD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  <c r="AC821" s="145"/>
      <c r="AD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  <c r="AC822" s="145"/>
      <c r="AD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  <c r="AC823" s="145"/>
      <c r="AD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  <c r="AC824" s="145"/>
      <c r="AD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  <c r="AC825" s="145"/>
      <c r="AD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  <c r="AC826" s="145"/>
      <c r="AD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  <c r="AC827" s="145"/>
      <c r="AD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  <c r="AC828" s="145"/>
      <c r="AD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  <c r="AC829" s="145"/>
      <c r="AD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  <c r="AC830" s="145"/>
      <c r="AD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  <c r="AC831" s="145"/>
      <c r="AD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  <c r="AC832" s="145"/>
      <c r="AD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  <c r="AC833" s="145"/>
      <c r="AD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  <c r="AC834" s="145"/>
      <c r="AD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  <c r="AC835" s="145"/>
      <c r="AD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  <c r="AC836" s="145"/>
      <c r="AD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  <c r="AC837" s="145"/>
      <c r="AD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  <c r="AC838" s="145"/>
      <c r="AD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  <c r="AC839" s="145"/>
      <c r="AD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  <c r="AC840" s="145"/>
      <c r="AD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  <c r="AC841" s="145"/>
      <c r="AD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  <c r="AC842" s="145"/>
      <c r="AD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  <c r="AC843" s="145"/>
      <c r="AD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  <c r="AC844" s="145"/>
      <c r="AD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  <c r="AC845" s="145"/>
      <c r="AD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  <c r="AC846" s="145"/>
      <c r="AD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  <c r="AC847" s="145"/>
      <c r="AD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  <c r="AC848" s="145"/>
      <c r="AD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  <c r="AC849" s="145"/>
      <c r="AD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  <c r="AC850" s="145"/>
      <c r="AD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  <c r="AC851" s="145"/>
      <c r="AD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  <c r="AC852" s="145"/>
      <c r="AD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  <c r="AC853" s="145"/>
      <c r="AD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  <c r="AC854" s="145"/>
      <c r="AD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  <c r="AC855" s="145"/>
      <c r="AD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  <c r="AC856" s="145"/>
      <c r="AD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  <c r="AC857" s="145"/>
      <c r="AD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  <c r="AC858" s="145"/>
      <c r="AD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  <c r="AC859" s="145"/>
      <c r="AD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  <c r="AC860" s="145"/>
      <c r="AD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  <c r="AC861" s="145"/>
      <c r="AD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  <c r="AC862" s="145"/>
      <c r="AD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  <c r="AC863" s="145"/>
      <c r="AD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  <c r="AC864" s="145"/>
      <c r="AD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  <c r="AC865" s="145"/>
      <c r="AD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  <c r="AC866" s="145"/>
      <c r="AD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  <c r="AC868" s="145"/>
      <c r="AD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  <c r="AC869" s="145"/>
      <c r="AD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  <c r="AC870" s="145"/>
      <c r="AD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  <c r="AC871" s="145"/>
      <c r="AD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  <c r="AC872" s="145"/>
      <c r="AD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  <c r="AC873" s="145"/>
      <c r="AD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  <c r="AC874" s="145"/>
      <c r="AD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  <c r="AC875" s="145"/>
      <c r="AD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  <c r="AC876" s="145"/>
      <c r="AD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  <c r="AC877" s="145"/>
      <c r="AD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  <c r="AC878" s="145"/>
      <c r="AD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  <c r="AC879" s="145"/>
      <c r="AD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  <c r="AC880" s="145"/>
      <c r="AD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  <c r="AC881" s="145"/>
      <c r="AD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  <c r="AC882" s="145"/>
      <c r="AD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  <c r="AC883" s="145"/>
      <c r="AD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  <c r="AC884" s="145"/>
      <c r="AD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  <c r="AC885" s="145"/>
      <c r="AD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  <c r="AC886" s="145"/>
      <c r="AD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  <c r="AC887" s="145"/>
      <c r="AD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  <c r="AC888" s="145"/>
      <c r="AD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  <c r="AC889" s="145"/>
      <c r="AD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  <c r="AC890" s="145"/>
      <c r="AD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  <c r="AC891" s="145"/>
      <c r="AD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  <c r="AC892" s="145"/>
      <c r="AD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  <c r="AC893" s="145"/>
      <c r="AD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  <c r="AC894" s="145"/>
      <c r="AD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  <c r="AC895" s="145"/>
      <c r="AD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  <c r="AC896" s="145"/>
      <c r="AD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  <c r="AC897" s="145"/>
      <c r="AD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  <c r="AC898" s="145"/>
      <c r="AD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  <c r="AC899" s="145"/>
      <c r="AD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  <c r="AC900" s="145"/>
      <c r="AD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  <c r="AC901" s="145"/>
      <c r="AD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  <c r="AC902" s="145"/>
      <c r="AD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  <c r="AC903" s="145"/>
      <c r="AD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  <c r="AC904" s="145"/>
      <c r="AD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  <c r="AC905" s="145"/>
      <c r="AD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  <c r="AC906" s="145"/>
      <c r="AD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  <c r="AC907" s="145"/>
      <c r="AD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  <c r="AC908" s="145"/>
      <c r="AD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  <c r="AC909" s="145"/>
      <c r="AD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  <c r="AC910" s="145"/>
      <c r="AD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  <c r="AC911" s="145"/>
      <c r="AD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  <c r="AC912" s="145"/>
      <c r="AD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  <c r="AC913" s="145"/>
      <c r="AD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  <c r="AC914" s="145"/>
      <c r="AD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  <c r="AC915" s="145"/>
      <c r="AD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  <c r="AC916" s="145"/>
      <c r="AD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  <c r="AC917" s="145"/>
      <c r="AD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  <c r="AC918" s="145"/>
      <c r="AD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  <c r="AC919" s="145"/>
      <c r="AD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  <c r="AC920" s="145"/>
      <c r="AD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  <c r="AC921" s="145"/>
      <c r="AD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  <c r="AC922" s="145"/>
      <c r="AD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  <c r="AC923" s="145"/>
      <c r="AD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  <c r="AC925" s="145"/>
      <c r="AD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  <c r="AC926" s="145"/>
      <c r="AD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  <c r="AC927" s="145"/>
      <c r="AD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  <c r="AC928" s="145"/>
      <c r="AD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  <c r="AC930" s="145"/>
      <c r="AD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  <c r="AC931" s="145"/>
      <c r="AD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  <c r="AC932" s="145"/>
      <c r="AD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  <c r="AC933" s="145"/>
      <c r="AD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  <c r="AC935" s="145"/>
      <c r="AD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  <c r="AC936" s="145"/>
      <c r="AD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  <c r="AC937" s="145"/>
      <c r="AD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  <c r="AC939" s="145"/>
      <c r="AD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  <c r="AC940" s="145"/>
      <c r="AD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  <c r="AC941" s="145"/>
      <c r="AD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  <c r="AC942" s="145"/>
      <c r="AD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  <c r="AC943" s="145"/>
      <c r="AD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  <c r="AC944" s="145"/>
      <c r="AD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  <c r="AC945" s="145"/>
      <c r="AD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  <c r="AC946" s="145"/>
      <c r="AD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  <c r="AC947" s="145"/>
      <c r="AD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  <c r="AC948" s="145"/>
      <c r="AD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  <c r="AC949" s="145"/>
      <c r="AD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  <c r="AC950" s="145"/>
      <c r="AD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  <c r="AC951" s="145"/>
      <c r="AD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  <c r="AC952" s="145"/>
      <c r="AD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  <c r="AC953" s="145"/>
      <c r="AD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  <c r="AC954" s="145"/>
      <c r="AD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  <c r="AC955" s="145"/>
      <c r="AD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  <c r="AC956" s="145"/>
      <c r="AD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  <c r="AC957" s="145"/>
      <c r="AD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  <c r="AC958" s="145"/>
      <c r="AD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  <c r="AC959" s="145"/>
      <c r="AD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  <c r="AC960" s="145"/>
      <c r="AD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  <c r="AC961" s="145"/>
      <c r="AD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  <c r="AB962" s="145"/>
      <c r="AC962" s="145"/>
      <c r="AD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  <c r="AB963" s="145"/>
      <c r="AC963" s="145"/>
      <c r="AD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  <c r="AC964" s="145"/>
      <c r="AD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  <c r="AC965" s="145"/>
      <c r="AD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  <c r="AC966" s="145"/>
      <c r="AD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  <c r="AC967" s="145"/>
      <c r="AD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  <c r="AC968" s="145"/>
      <c r="AD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  <c r="AC969" s="145"/>
      <c r="AD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  <c r="AC970" s="145"/>
      <c r="AD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  <c r="AC971" s="145"/>
      <c r="AD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  <c r="AC972" s="145"/>
      <c r="AD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  <c r="AC973" s="145"/>
      <c r="AD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  <c r="AC974" s="145"/>
      <c r="AD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  <c r="AC975" s="145"/>
      <c r="AD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  <c r="AC976" s="145"/>
      <c r="AD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  <c r="AC977" s="145"/>
      <c r="AD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  <c r="AC978" s="145"/>
      <c r="AD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  <c r="AC979" s="145"/>
      <c r="AD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  <c r="AC980" s="145"/>
      <c r="AD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  <c r="AC981" s="145"/>
      <c r="AD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  <c r="AC982" s="145"/>
      <c r="AD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  <c r="AC983" s="145"/>
      <c r="AD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  <c r="AC984" s="145"/>
      <c r="AD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  <c r="AC985" s="145"/>
      <c r="AD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  <c r="AC986" s="145"/>
      <c r="AD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  <c r="AB987" s="145"/>
      <c r="AC987" s="145"/>
      <c r="AD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  <c r="AC988" s="145"/>
      <c r="AD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  <c r="AB989" s="145"/>
      <c r="AC989" s="145"/>
      <c r="AD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  <c r="AB990" s="145"/>
      <c r="AC990" s="145"/>
      <c r="AD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  <c r="AB991" s="145"/>
      <c r="AC991" s="145"/>
      <c r="AD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  <c r="AB992" s="145"/>
      <c r="AC992" s="145"/>
      <c r="AD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  <c r="AB993" s="145"/>
      <c r="AC993" s="145"/>
      <c r="AD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  <c r="AB994" s="145"/>
      <c r="AC994" s="145"/>
      <c r="AD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  <c r="AB995" s="145"/>
      <c r="AC995" s="145"/>
      <c r="AD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  <c r="AB996" s="145"/>
      <c r="AC996" s="145"/>
      <c r="AD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  <c r="AB997" s="145"/>
      <c r="AC997" s="145"/>
      <c r="AD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  <c r="AB998" s="145"/>
      <c r="AC998" s="145"/>
      <c r="AD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  <c r="AB999" s="145"/>
      <c r="AC999" s="145"/>
      <c r="AD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  <c r="AB1000" s="145"/>
      <c r="AC1000" s="145"/>
      <c r="AD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  <c r="AB1001" s="145"/>
      <c r="AC1001" s="145"/>
      <c r="AD1001" s="145"/>
    </row>
    <row r="1002" ht="13.5" customHeight="1">
      <c r="A1002" s="145"/>
      <c r="B1002" s="182"/>
      <c r="C1002" s="145"/>
      <c r="D1002" s="146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  <c r="AB1002" s="145"/>
      <c r="AC1002" s="145"/>
      <c r="AD1002" s="145"/>
    </row>
    <row r="1003" ht="13.5" customHeight="1">
      <c r="A1003" s="145"/>
      <c r="B1003" s="182"/>
      <c r="C1003" s="145"/>
      <c r="D1003" s="146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  <c r="AB1003" s="145"/>
      <c r="AC1003" s="145"/>
      <c r="AD1003" s="145"/>
    </row>
    <row r="1004" ht="13.5" customHeight="1">
      <c r="A1004" s="145"/>
      <c r="B1004" s="182"/>
      <c r="C1004" s="145"/>
      <c r="D1004" s="146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  <c r="AB1004" s="145"/>
      <c r="AC1004" s="145"/>
      <c r="AD1004" s="145"/>
    </row>
    <row r="1005" ht="13.5" customHeight="1">
      <c r="A1005" s="145"/>
      <c r="B1005" s="182"/>
      <c r="C1005" s="145"/>
      <c r="D1005" s="146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  <c r="AB1005" s="145"/>
      <c r="AC1005" s="145"/>
      <c r="AD1005" s="145"/>
    </row>
    <row r="1006" ht="13.5" customHeight="1">
      <c r="A1006" s="145"/>
      <c r="B1006" s="182"/>
      <c r="C1006" s="145"/>
      <c r="D1006" s="146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  <c r="AB1006" s="145"/>
      <c r="AC1006" s="145"/>
      <c r="AD1006" s="145"/>
    </row>
    <row r="1007" ht="13.5" customHeight="1">
      <c r="A1007" s="145"/>
      <c r="B1007" s="182"/>
      <c r="C1007" s="145"/>
      <c r="D1007" s="146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  <c r="AA1007" s="145"/>
      <c r="AB1007" s="145"/>
      <c r="AC1007" s="145"/>
      <c r="AD1007" s="145"/>
    </row>
    <row r="1008" ht="13.5" customHeight="1">
      <c r="A1008" s="145"/>
      <c r="B1008" s="182"/>
      <c r="C1008" s="145"/>
      <c r="D1008" s="146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  <c r="W1008" s="145"/>
      <c r="X1008" s="145"/>
      <c r="Y1008" s="145"/>
      <c r="Z1008" s="145"/>
      <c r="AA1008" s="145"/>
      <c r="AB1008" s="145"/>
      <c r="AC1008" s="145"/>
      <c r="AD1008" s="145"/>
    </row>
    <row r="1009" ht="13.5" customHeight="1">
      <c r="A1009" s="145"/>
      <c r="B1009" s="182"/>
      <c r="C1009" s="145"/>
      <c r="D1009" s="146"/>
      <c r="E1009" s="145"/>
      <c r="F1009" s="145"/>
      <c r="G1009" s="145"/>
      <c r="H1009" s="145"/>
      <c r="I1009" s="145"/>
      <c r="J1009" s="145"/>
      <c r="K1009" s="145"/>
      <c r="L1009" s="145"/>
      <c r="M1009" s="145"/>
      <c r="N1009" s="145"/>
      <c r="O1009" s="145"/>
      <c r="P1009" s="145"/>
      <c r="Q1009" s="145"/>
      <c r="R1009" s="145"/>
      <c r="S1009" s="145"/>
      <c r="T1009" s="145"/>
      <c r="U1009" s="145"/>
      <c r="V1009" s="145"/>
      <c r="W1009" s="145"/>
      <c r="X1009" s="145"/>
      <c r="Y1009" s="145"/>
      <c r="Z1009" s="145"/>
      <c r="AA1009" s="145"/>
      <c r="AB1009" s="145"/>
      <c r="AC1009" s="145"/>
      <c r="AD1009" s="145"/>
    </row>
    <row r="1010" ht="13.5" customHeight="1">
      <c r="A1010" s="145"/>
      <c r="B1010" s="182"/>
      <c r="C1010" s="145"/>
      <c r="D1010" s="146"/>
      <c r="E1010" s="145"/>
      <c r="F1010" s="145"/>
      <c r="G1010" s="145"/>
      <c r="H1010" s="145"/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5"/>
      <c r="S1010" s="145"/>
      <c r="T1010" s="145"/>
      <c r="U1010" s="145"/>
      <c r="V1010" s="145"/>
      <c r="W1010" s="145"/>
      <c r="X1010" s="145"/>
      <c r="Y1010" s="145"/>
      <c r="Z1010" s="145"/>
      <c r="AA1010" s="145"/>
      <c r="AB1010" s="145"/>
      <c r="AC1010" s="145"/>
      <c r="AD1010" s="145"/>
    </row>
    <row r="1011" ht="13.5" customHeight="1">
      <c r="A1011" s="145"/>
      <c r="B1011" s="182"/>
      <c r="C1011" s="145"/>
      <c r="D1011" s="146"/>
      <c r="E1011" s="145"/>
      <c r="F1011" s="145"/>
      <c r="G1011" s="145"/>
      <c r="H1011" s="145"/>
      <c r="I1011" s="145"/>
      <c r="J1011" s="145"/>
      <c r="K1011" s="145"/>
      <c r="L1011" s="145"/>
      <c r="M1011" s="145"/>
      <c r="N1011" s="145"/>
      <c r="O1011" s="145"/>
      <c r="P1011" s="145"/>
      <c r="Q1011" s="145"/>
      <c r="R1011" s="145"/>
      <c r="S1011" s="145"/>
      <c r="T1011" s="145"/>
      <c r="U1011" s="145"/>
      <c r="V1011" s="145"/>
      <c r="W1011" s="145"/>
      <c r="X1011" s="145"/>
      <c r="Y1011" s="145"/>
      <c r="Z1011" s="145"/>
      <c r="AA1011" s="145"/>
      <c r="AB1011" s="145"/>
      <c r="AC1011" s="145"/>
      <c r="AD1011" s="145"/>
    </row>
    <row r="1012" ht="13.5" customHeight="1">
      <c r="A1012" s="145"/>
      <c r="B1012" s="182"/>
      <c r="C1012" s="145"/>
      <c r="D1012" s="146"/>
      <c r="E1012" s="145"/>
      <c r="F1012" s="145"/>
      <c r="G1012" s="145"/>
      <c r="H1012" s="145"/>
      <c r="I1012" s="145"/>
      <c r="J1012" s="145"/>
      <c r="K1012" s="145"/>
      <c r="L1012" s="145"/>
      <c r="M1012" s="145"/>
      <c r="N1012" s="145"/>
      <c r="O1012" s="145"/>
      <c r="P1012" s="145"/>
      <c r="Q1012" s="145"/>
      <c r="R1012" s="145"/>
      <c r="S1012" s="145"/>
      <c r="T1012" s="145"/>
      <c r="U1012" s="145"/>
      <c r="V1012" s="145"/>
      <c r="W1012" s="145"/>
      <c r="X1012" s="145"/>
      <c r="Y1012" s="145"/>
      <c r="Z1012" s="145"/>
      <c r="AA1012" s="145"/>
      <c r="AB1012" s="145"/>
      <c r="AC1012" s="145"/>
      <c r="AD1012" s="145"/>
    </row>
    <row r="1013" ht="13.5" customHeight="1">
      <c r="A1013" s="145"/>
      <c r="B1013" s="182"/>
      <c r="C1013" s="145"/>
      <c r="D1013" s="146"/>
      <c r="E1013" s="145"/>
      <c r="F1013" s="145"/>
      <c r="G1013" s="145"/>
      <c r="H1013" s="145"/>
      <c r="I1013" s="145"/>
      <c r="J1013" s="145"/>
      <c r="K1013" s="145"/>
      <c r="L1013" s="145"/>
      <c r="M1013" s="145"/>
      <c r="N1013" s="145"/>
      <c r="O1013" s="145"/>
      <c r="P1013" s="145"/>
      <c r="Q1013" s="145"/>
      <c r="R1013" s="145"/>
      <c r="S1013" s="145"/>
      <c r="T1013" s="145"/>
      <c r="U1013" s="145"/>
      <c r="V1013" s="145"/>
      <c r="W1013" s="145"/>
      <c r="X1013" s="145"/>
      <c r="Y1013" s="145"/>
      <c r="Z1013" s="145"/>
      <c r="AA1013" s="145"/>
      <c r="AB1013" s="145"/>
      <c r="AC1013" s="145"/>
      <c r="AD1013" s="145"/>
    </row>
    <row r="1014" ht="13.5" customHeight="1">
      <c r="A1014" s="145"/>
      <c r="B1014" s="182"/>
      <c r="C1014" s="145"/>
      <c r="D1014" s="146"/>
      <c r="E1014" s="145"/>
      <c r="F1014" s="145"/>
      <c r="G1014" s="145"/>
      <c r="H1014" s="145"/>
      <c r="I1014" s="145"/>
      <c r="J1014" s="145"/>
      <c r="K1014" s="145"/>
      <c r="L1014" s="145"/>
      <c r="M1014" s="145"/>
      <c r="N1014" s="145"/>
      <c r="O1014" s="145"/>
      <c r="P1014" s="145"/>
      <c r="Q1014" s="145"/>
      <c r="R1014" s="145"/>
      <c r="S1014" s="145"/>
      <c r="T1014" s="145"/>
      <c r="U1014" s="145"/>
      <c r="V1014" s="145"/>
      <c r="W1014" s="145"/>
      <c r="X1014" s="145"/>
      <c r="Y1014" s="145"/>
      <c r="Z1014" s="145"/>
      <c r="AA1014" s="145"/>
      <c r="AB1014" s="145"/>
      <c r="AC1014" s="145"/>
      <c r="AD1014" s="145"/>
    </row>
    <row r="1015" ht="13.5" customHeight="1">
      <c r="A1015" s="145"/>
      <c r="B1015" s="182"/>
      <c r="C1015" s="145"/>
      <c r="D1015" s="146"/>
      <c r="E1015" s="145"/>
      <c r="F1015" s="145"/>
      <c r="G1015" s="145"/>
      <c r="H1015" s="145"/>
      <c r="I1015" s="145"/>
      <c r="J1015" s="145"/>
      <c r="K1015" s="145"/>
      <c r="L1015" s="145"/>
      <c r="M1015" s="145"/>
      <c r="N1015" s="145"/>
      <c r="O1015" s="145"/>
      <c r="P1015" s="145"/>
      <c r="Q1015" s="145"/>
      <c r="R1015" s="145"/>
      <c r="S1015" s="145"/>
      <c r="T1015" s="145"/>
      <c r="U1015" s="145"/>
      <c r="V1015" s="145"/>
      <c r="W1015" s="145"/>
      <c r="X1015" s="145"/>
      <c r="Y1015" s="145"/>
      <c r="Z1015" s="145"/>
      <c r="AA1015" s="145"/>
      <c r="AB1015" s="145"/>
      <c r="AC1015" s="145"/>
      <c r="AD1015" s="145"/>
    </row>
    <row r="1016" ht="13.5" customHeight="1">
      <c r="A1016" s="145"/>
      <c r="B1016" s="182"/>
      <c r="C1016" s="145"/>
      <c r="D1016" s="146"/>
      <c r="E1016" s="145"/>
      <c r="F1016" s="145"/>
      <c r="G1016" s="145"/>
      <c r="H1016" s="145"/>
      <c r="I1016" s="145"/>
      <c r="J1016" s="145"/>
      <c r="K1016" s="145"/>
      <c r="L1016" s="145"/>
      <c r="M1016" s="145"/>
      <c r="N1016" s="145"/>
      <c r="O1016" s="145"/>
      <c r="P1016" s="145"/>
      <c r="Q1016" s="145"/>
      <c r="R1016" s="145"/>
      <c r="S1016" s="145"/>
      <c r="T1016" s="145"/>
      <c r="U1016" s="145"/>
      <c r="V1016" s="145"/>
      <c r="W1016" s="145"/>
      <c r="X1016" s="145"/>
      <c r="Y1016" s="145"/>
      <c r="Z1016" s="145"/>
      <c r="AA1016" s="145"/>
      <c r="AB1016" s="145"/>
      <c r="AC1016" s="145"/>
      <c r="AD1016" s="145"/>
    </row>
    <row r="1017" ht="13.5" customHeight="1">
      <c r="A1017" s="145"/>
      <c r="B1017" s="182"/>
      <c r="C1017" s="145"/>
      <c r="D1017" s="146"/>
      <c r="E1017" s="145"/>
      <c r="F1017" s="145"/>
      <c r="G1017" s="145"/>
      <c r="H1017" s="145"/>
      <c r="I1017" s="145"/>
      <c r="J1017" s="145"/>
      <c r="K1017" s="145"/>
      <c r="L1017" s="145"/>
      <c r="M1017" s="145"/>
      <c r="N1017" s="145"/>
      <c r="O1017" s="145"/>
      <c r="P1017" s="145"/>
      <c r="Q1017" s="145"/>
      <c r="R1017" s="145"/>
      <c r="S1017" s="145"/>
      <c r="T1017" s="145"/>
      <c r="U1017" s="145"/>
      <c r="V1017" s="145"/>
      <c r="W1017" s="145"/>
      <c r="X1017" s="145"/>
      <c r="Y1017" s="145"/>
      <c r="Z1017" s="145"/>
      <c r="AA1017" s="145"/>
      <c r="AB1017" s="145"/>
      <c r="AC1017" s="145"/>
      <c r="AD1017" s="145"/>
    </row>
    <row r="1018" ht="13.5" customHeight="1">
      <c r="A1018" s="145"/>
      <c r="B1018" s="182"/>
      <c r="C1018" s="145"/>
      <c r="D1018" s="146"/>
      <c r="E1018" s="145"/>
      <c r="F1018" s="145"/>
      <c r="G1018" s="145"/>
      <c r="H1018" s="145"/>
      <c r="I1018" s="145"/>
      <c r="J1018" s="145"/>
      <c r="K1018" s="145"/>
      <c r="L1018" s="145"/>
      <c r="M1018" s="145"/>
      <c r="N1018" s="145"/>
      <c r="O1018" s="145"/>
      <c r="P1018" s="145"/>
      <c r="Q1018" s="145"/>
      <c r="R1018" s="145"/>
      <c r="S1018" s="145"/>
      <c r="T1018" s="145"/>
      <c r="U1018" s="145"/>
      <c r="V1018" s="145"/>
      <c r="W1018" s="145"/>
      <c r="X1018" s="145"/>
      <c r="Y1018" s="145"/>
      <c r="Z1018" s="145"/>
      <c r="AA1018" s="145"/>
      <c r="AB1018" s="145"/>
      <c r="AC1018" s="145"/>
      <c r="AD1018" s="145"/>
    </row>
    <row r="1019" ht="13.5" customHeight="1">
      <c r="A1019" s="145"/>
      <c r="B1019" s="182"/>
      <c r="C1019" s="145"/>
      <c r="D1019" s="146"/>
      <c r="E1019" s="145"/>
      <c r="F1019" s="145"/>
      <c r="G1019" s="145"/>
      <c r="H1019" s="145"/>
      <c r="I1019" s="145"/>
      <c r="J1019" s="145"/>
      <c r="K1019" s="145"/>
      <c r="L1019" s="145"/>
      <c r="M1019" s="145"/>
      <c r="N1019" s="145"/>
      <c r="O1019" s="145"/>
      <c r="P1019" s="145"/>
      <c r="Q1019" s="145"/>
      <c r="R1019" s="145"/>
      <c r="S1019" s="145"/>
      <c r="T1019" s="145"/>
      <c r="U1019" s="145"/>
      <c r="V1019" s="145"/>
      <c r="W1019" s="145"/>
      <c r="X1019" s="145"/>
      <c r="Y1019" s="145"/>
      <c r="Z1019" s="145"/>
      <c r="AA1019" s="145"/>
      <c r="AB1019" s="145"/>
      <c r="AC1019" s="145"/>
      <c r="AD1019" s="145"/>
    </row>
    <row r="1020" ht="13.5" customHeight="1">
      <c r="A1020" s="145"/>
      <c r="B1020" s="182"/>
      <c r="C1020" s="145"/>
      <c r="D1020" s="146"/>
      <c r="E1020" s="145"/>
      <c r="F1020" s="145"/>
      <c r="G1020" s="145"/>
      <c r="H1020" s="145"/>
      <c r="I1020" s="145"/>
      <c r="J1020" s="145"/>
      <c r="K1020" s="145"/>
      <c r="L1020" s="145"/>
      <c r="M1020" s="145"/>
      <c r="N1020" s="145"/>
      <c r="O1020" s="145"/>
      <c r="P1020" s="145"/>
      <c r="Q1020" s="145"/>
      <c r="R1020" s="145"/>
      <c r="S1020" s="145"/>
      <c r="T1020" s="145"/>
      <c r="U1020" s="145"/>
      <c r="V1020" s="145"/>
      <c r="W1020" s="145"/>
      <c r="X1020" s="145"/>
      <c r="Y1020" s="145"/>
      <c r="Z1020" s="145"/>
      <c r="AA1020" s="145"/>
      <c r="AB1020" s="145"/>
      <c r="AC1020" s="145"/>
      <c r="AD1020" s="145"/>
    </row>
    <row r="1021" ht="13.5" customHeight="1">
      <c r="A1021" s="145"/>
      <c r="B1021" s="182"/>
      <c r="C1021" s="145"/>
      <c r="D1021" s="146"/>
      <c r="E1021" s="145"/>
      <c r="F1021" s="145"/>
      <c r="G1021" s="145"/>
      <c r="H1021" s="145"/>
      <c r="I1021" s="145"/>
      <c r="J1021" s="145"/>
      <c r="K1021" s="145"/>
      <c r="L1021" s="145"/>
      <c r="M1021" s="145"/>
      <c r="N1021" s="145"/>
      <c r="O1021" s="145"/>
      <c r="P1021" s="145"/>
      <c r="Q1021" s="145"/>
      <c r="R1021" s="145"/>
      <c r="S1021" s="145"/>
      <c r="T1021" s="145"/>
      <c r="U1021" s="145"/>
      <c r="V1021" s="145"/>
      <c r="W1021" s="145"/>
      <c r="X1021" s="145"/>
      <c r="Y1021" s="145"/>
      <c r="Z1021" s="145"/>
      <c r="AA1021" s="145"/>
      <c r="AB1021" s="145"/>
      <c r="AC1021" s="145"/>
      <c r="AD1021" s="145"/>
    </row>
    <row r="1022" ht="13.5" customHeight="1">
      <c r="A1022" s="145"/>
      <c r="B1022" s="182"/>
      <c r="C1022" s="145"/>
      <c r="D1022" s="146"/>
      <c r="E1022" s="145"/>
      <c r="F1022" s="145"/>
      <c r="G1022" s="145"/>
      <c r="H1022" s="145"/>
      <c r="I1022" s="145"/>
      <c r="J1022" s="145"/>
      <c r="K1022" s="145"/>
      <c r="L1022" s="145"/>
      <c r="M1022" s="145"/>
      <c r="N1022" s="145"/>
      <c r="O1022" s="145"/>
      <c r="P1022" s="145"/>
      <c r="Q1022" s="145"/>
      <c r="R1022" s="145"/>
      <c r="S1022" s="145"/>
      <c r="T1022" s="145"/>
      <c r="U1022" s="145"/>
      <c r="V1022" s="145"/>
      <c r="W1022" s="145"/>
      <c r="X1022" s="145"/>
      <c r="Y1022" s="145"/>
      <c r="Z1022" s="145"/>
      <c r="AA1022" s="145"/>
      <c r="AB1022" s="145"/>
      <c r="AC1022" s="145"/>
      <c r="AD1022" s="145"/>
    </row>
    <row r="1023" ht="13.5" customHeight="1">
      <c r="A1023" s="145"/>
      <c r="B1023" s="182"/>
      <c r="C1023" s="145"/>
      <c r="D1023" s="146"/>
      <c r="E1023" s="145"/>
      <c r="F1023" s="145"/>
      <c r="G1023" s="145"/>
      <c r="H1023" s="145"/>
      <c r="I1023" s="145"/>
      <c r="J1023" s="145"/>
      <c r="K1023" s="145"/>
      <c r="L1023" s="145"/>
      <c r="M1023" s="145"/>
      <c r="N1023" s="145"/>
      <c r="O1023" s="145"/>
      <c r="P1023" s="145"/>
      <c r="Q1023" s="145"/>
      <c r="R1023" s="145"/>
      <c r="S1023" s="145"/>
      <c r="T1023" s="145"/>
      <c r="U1023" s="145"/>
      <c r="V1023" s="145"/>
      <c r="W1023" s="145"/>
      <c r="X1023" s="145"/>
      <c r="Y1023" s="145"/>
      <c r="Z1023" s="145"/>
      <c r="AA1023" s="145"/>
      <c r="AB1023" s="145"/>
      <c r="AC1023" s="145"/>
      <c r="AD1023" s="145"/>
    </row>
    <row r="1024" ht="13.5" customHeight="1">
      <c r="A1024" s="145"/>
      <c r="B1024" s="182"/>
      <c r="C1024" s="145"/>
      <c r="D1024" s="146"/>
      <c r="E1024" s="145"/>
      <c r="F1024" s="145"/>
      <c r="G1024" s="145"/>
      <c r="H1024" s="145"/>
      <c r="I1024" s="145"/>
      <c r="J1024" s="145"/>
      <c r="K1024" s="145"/>
      <c r="L1024" s="145"/>
      <c r="M1024" s="145"/>
      <c r="N1024" s="145"/>
      <c r="O1024" s="145"/>
      <c r="P1024" s="145"/>
      <c r="Q1024" s="145"/>
      <c r="R1024" s="145"/>
      <c r="S1024" s="145"/>
      <c r="T1024" s="145"/>
      <c r="U1024" s="145"/>
      <c r="V1024" s="145"/>
      <c r="W1024" s="145"/>
      <c r="X1024" s="145"/>
      <c r="Y1024" s="145"/>
      <c r="Z1024" s="145"/>
      <c r="AA1024" s="145"/>
      <c r="AB1024" s="145"/>
      <c r="AC1024" s="145"/>
      <c r="AD1024" s="145"/>
    </row>
    <row r="1025" ht="13.5" customHeight="1">
      <c r="A1025" s="145"/>
      <c r="B1025" s="182"/>
      <c r="C1025" s="145"/>
      <c r="D1025" s="146"/>
      <c r="E1025" s="145"/>
      <c r="F1025" s="145"/>
      <c r="G1025" s="145"/>
      <c r="H1025" s="145"/>
      <c r="I1025" s="145"/>
      <c r="J1025" s="145"/>
      <c r="K1025" s="145"/>
      <c r="L1025" s="145"/>
      <c r="M1025" s="145"/>
      <c r="N1025" s="145"/>
      <c r="O1025" s="145"/>
      <c r="P1025" s="145"/>
      <c r="Q1025" s="145"/>
      <c r="R1025" s="145"/>
      <c r="S1025" s="145"/>
      <c r="T1025" s="145"/>
      <c r="U1025" s="145"/>
      <c r="V1025" s="145"/>
      <c r="W1025" s="145"/>
      <c r="X1025" s="145"/>
      <c r="Y1025" s="145"/>
      <c r="Z1025" s="145"/>
      <c r="AA1025" s="145"/>
      <c r="AB1025" s="145"/>
      <c r="AC1025" s="145"/>
      <c r="AD1025" s="145"/>
    </row>
    <row r="1026" ht="13.5" customHeight="1">
      <c r="A1026" s="145"/>
      <c r="B1026" s="182"/>
      <c r="C1026" s="145"/>
      <c r="D1026" s="146"/>
      <c r="E1026" s="145"/>
      <c r="F1026" s="145"/>
      <c r="G1026" s="145"/>
      <c r="H1026" s="145"/>
      <c r="I1026" s="145"/>
      <c r="J1026" s="145"/>
      <c r="K1026" s="145"/>
      <c r="L1026" s="145"/>
      <c r="M1026" s="145"/>
      <c r="N1026" s="145"/>
      <c r="O1026" s="145"/>
      <c r="P1026" s="145"/>
      <c r="Q1026" s="145"/>
      <c r="R1026" s="145"/>
      <c r="S1026" s="145"/>
      <c r="T1026" s="145"/>
      <c r="U1026" s="145"/>
      <c r="V1026" s="145"/>
      <c r="W1026" s="145"/>
      <c r="X1026" s="145"/>
      <c r="Y1026" s="145"/>
      <c r="Z1026" s="145"/>
      <c r="AA1026" s="145"/>
      <c r="AB1026" s="145"/>
      <c r="AC1026" s="145"/>
      <c r="AD1026" s="145"/>
    </row>
    <row r="1027" ht="13.5" customHeight="1">
      <c r="A1027" s="145"/>
      <c r="B1027" s="182"/>
      <c r="C1027" s="145"/>
      <c r="D1027" s="146"/>
      <c r="E1027" s="145"/>
      <c r="F1027" s="145"/>
      <c r="G1027" s="145"/>
      <c r="H1027" s="145"/>
      <c r="I1027" s="145"/>
      <c r="J1027" s="145"/>
      <c r="K1027" s="145"/>
      <c r="L1027" s="145"/>
      <c r="M1027" s="145"/>
      <c r="N1027" s="145"/>
      <c r="O1027" s="145"/>
      <c r="P1027" s="145"/>
      <c r="Q1027" s="145"/>
      <c r="R1027" s="145"/>
      <c r="S1027" s="145"/>
      <c r="T1027" s="145"/>
      <c r="U1027" s="145"/>
      <c r="V1027" s="145"/>
      <c r="W1027" s="145"/>
      <c r="X1027" s="145"/>
      <c r="Y1027" s="145"/>
      <c r="Z1027" s="145"/>
      <c r="AA1027" s="145"/>
      <c r="AB1027" s="145"/>
      <c r="AC1027" s="145"/>
      <c r="AD1027" s="145"/>
    </row>
    <row r="1028" ht="13.5" customHeight="1">
      <c r="A1028" s="145"/>
      <c r="B1028" s="182"/>
      <c r="C1028" s="145"/>
      <c r="D1028" s="146"/>
      <c r="E1028" s="145"/>
      <c r="F1028" s="145"/>
      <c r="G1028" s="145"/>
      <c r="H1028" s="145"/>
      <c r="I1028" s="145"/>
      <c r="J1028" s="145"/>
      <c r="K1028" s="145"/>
      <c r="L1028" s="145"/>
      <c r="M1028" s="145"/>
      <c r="N1028" s="145"/>
      <c r="O1028" s="145"/>
      <c r="P1028" s="145"/>
      <c r="Q1028" s="145"/>
      <c r="R1028" s="145"/>
      <c r="S1028" s="145"/>
      <c r="T1028" s="145"/>
      <c r="U1028" s="145"/>
      <c r="V1028" s="145"/>
      <c r="W1028" s="145"/>
      <c r="X1028" s="145"/>
      <c r="Y1028" s="145"/>
      <c r="Z1028" s="145"/>
      <c r="AA1028" s="145"/>
      <c r="AB1028" s="145"/>
      <c r="AC1028" s="145"/>
      <c r="AD1028" s="145"/>
    </row>
    <row r="1029" ht="13.5" customHeight="1">
      <c r="A1029" s="145"/>
      <c r="B1029" s="182"/>
      <c r="C1029" s="145"/>
      <c r="D1029" s="146"/>
      <c r="E1029" s="145"/>
      <c r="F1029" s="145"/>
      <c r="G1029" s="145"/>
      <c r="H1029" s="145"/>
      <c r="I1029" s="145"/>
      <c r="J1029" s="145"/>
      <c r="K1029" s="145"/>
      <c r="L1029" s="145"/>
      <c r="M1029" s="145"/>
      <c r="N1029" s="145"/>
      <c r="O1029" s="145"/>
      <c r="P1029" s="145"/>
      <c r="Q1029" s="145"/>
      <c r="R1029" s="145"/>
      <c r="S1029" s="145"/>
      <c r="T1029" s="145"/>
      <c r="U1029" s="145"/>
      <c r="V1029" s="145"/>
      <c r="W1029" s="145"/>
      <c r="X1029" s="145"/>
      <c r="Y1029" s="145"/>
      <c r="Z1029" s="145"/>
      <c r="AA1029" s="145"/>
      <c r="AB1029" s="145"/>
      <c r="AC1029" s="145"/>
      <c r="AD1029" s="145"/>
    </row>
    <row r="1030" ht="13.5" customHeight="1">
      <c r="A1030" s="145"/>
      <c r="B1030" s="182"/>
      <c r="C1030" s="145"/>
      <c r="D1030" s="146"/>
      <c r="E1030" s="145"/>
      <c r="F1030" s="145"/>
      <c r="G1030" s="145"/>
      <c r="H1030" s="145"/>
      <c r="I1030" s="145"/>
      <c r="J1030" s="145"/>
      <c r="K1030" s="145"/>
      <c r="L1030" s="145"/>
      <c r="M1030" s="145"/>
      <c r="N1030" s="145"/>
      <c r="O1030" s="145"/>
      <c r="P1030" s="145"/>
      <c r="Q1030" s="145"/>
      <c r="R1030" s="145"/>
      <c r="S1030" s="145"/>
      <c r="T1030" s="145"/>
      <c r="U1030" s="145"/>
      <c r="V1030" s="145"/>
      <c r="W1030" s="145"/>
      <c r="X1030" s="145"/>
      <c r="Y1030" s="145"/>
      <c r="Z1030" s="145"/>
      <c r="AA1030" s="145"/>
      <c r="AB1030" s="145"/>
      <c r="AC1030" s="145"/>
      <c r="AD1030" s="145"/>
    </row>
    <row r="1031" ht="13.5" customHeight="1">
      <c r="A1031" s="145"/>
      <c r="B1031" s="182"/>
      <c r="C1031" s="145"/>
      <c r="D1031" s="146"/>
      <c r="E1031" s="145"/>
      <c r="F1031" s="145"/>
      <c r="G1031" s="145"/>
      <c r="H1031" s="145"/>
      <c r="I1031" s="145"/>
      <c r="J1031" s="145"/>
      <c r="K1031" s="145"/>
      <c r="L1031" s="145"/>
      <c r="M1031" s="145"/>
      <c r="N1031" s="145"/>
      <c r="O1031" s="145"/>
      <c r="P1031" s="145"/>
      <c r="Q1031" s="145"/>
      <c r="R1031" s="145"/>
      <c r="S1031" s="145"/>
      <c r="T1031" s="145"/>
      <c r="U1031" s="145"/>
      <c r="V1031" s="145"/>
      <c r="W1031" s="145"/>
      <c r="X1031" s="145"/>
      <c r="Y1031" s="145"/>
      <c r="Z1031" s="145"/>
      <c r="AA1031" s="145"/>
      <c r="AB1031" s="145"/>
      <c r="AC1031" s="145"/>
      <c r="AD1031" s="145"/>
    </row>
    <row r="1032" ht="13.5" customHeight="1">
      <c r="A1032" s="145"/>
      <c r="B1032" s="182"/>
      <c r="C1032" s="145"/>
      <c r="D1032" s="146"/>
      <c r="E1032" s="145"/>
      <c r="F1032" s="145"/>
      <c r="G1032" s="145"/>
      <c r="H1032" s="145"/>
      <c r="I1032" s="145"/>
      <c r="J1032" s="145"/>
      <c r="K1032" s="145"/>
      <c r="L1032" s="145"/>
      <c r="M1032" s="145"/>
      <c r="N1032" s="145"/>
      <c r="O1032" s="145"/>
      <c r="P1032" s="145"/>
      <c r="Q1032" s="145"/>
      <c r="R1032" s="145"/>
      <c r="S1032" s="145"/>
      <c r="T1032" s="145"/>
      <c r="U1032" s="145"/>
      <c r="V1032" s="145"/>
      <c r="W1032" s="145"/>
      <c r="X1032" s="145"/>
      <c r="Y1032" s="145"/>
      <c r="Z1032" s="145"/>
      <c r="AA1032" s="145"/>
      <c r="AB1032" s="145"/>
      <c r="AC1032" s="145"/>
      <c r="AD1032" s="145"/>
    </row>
    <row r="1033" ht="13.5" customHeight="1">
      <c r="A1033" s="145"/>
      <c r="B1033" s="182"/>
      <c r="C1033" s="145"/>
      <c r="D1033" s="146"/>
      <c r="E1033" s="145"/>
      <c r="F1033" s="145"/>
      <c r="G1033" s="145"/>
      <c r="H1033" s="145"/>
      <c r="I1033" s="145"/>
      <c r="J1033" s="145"/>
      <c r="K1033" s="145"/>
      <c r="L1033" s="145"/>
      <c r="M1033" s="145"/>
      <c r="N1033" s="145"/>
      <c r="O1033" s="145"/>
      <c r="P1033" s="145"/>
      <c r="Q1033" s="145"/>
      <c r="R1033" s="145"/>
      <c r="S1033" s="145"/>
      <c r="T1033" s="145"/>
      <c r="U1033" s="145"/>
      <c r="V1033" s="145"/>
      <c r="W1033" s="145"/>
      <c r="X1033" s="145"/>
      <c r="Y1033" s="145"/>
      <c r="Z1033" s="145"/>
      <c r="AA1033" s="145"/>
      <c r="AB1033" s="145"/>
      <c r="AC1033" s="145"/>
      <c r="AD1033" s="145"/>
    </row>
    <row r="1034" ht="13.5" customHeight="1">
      <c r="A1034" s="145"/>
      <c r="B1034" s="182"/>
      <c r="C1034" s="145"/>
      <c r="D1034" s="146"/>
      <c r="E1034" s="145"/>
      <c r="F1034" s="145"/>
      <c r="G1034" s="145"/>
      <c r="H1034" s="145"/>
      <c r="I1034" s="145"/>
      <c r="J1034" s="145"/>
      <c r="K1034" s="145"/>
      <c r="L1034" s="145"/>
      <c r="M1034" s="145"/>
      <c r="N1034" s="145"/>
      <c r="O1034" s="145"/>
      <c r="P1034" s="145"/>
      <c r="Q1034" s="145"/>
      <c r="R1034" s="145"/>
      <c r="S1034" s="145"/>
      <c r="T1034" s="145"/>
      <c r="U1034" s="145"/>
      <c r="V1034" s="145"/>
      <c r="W1034" s="145"/>
      <c r="X1034" s="145"/>
      <c r="Y1034" s="145"/>
      <c r="Z1034" s="145"/>
      <c r="AA1034" s="145"/>
      <c r="AB1034" s="145"/>
      <c r="AC1034" s="145"/>
      <c r="AD1034" s="145"/>
    </row>
    <row r="1035" ht="13.5" customHeight="1">
      <c r="A1035" s="145"/>
      <c r="B1035" s="182"/>
      <c r="C1035" s="145"/>
      <c r="D1035" s="146"/>
      <c r="E1035" s="145"/>
      <c r="F1035" s="145"/>
      <c r="G1035" s="145"/>
      <c r="H1035" s="145"/>
      <c r="I1035" s="145"/>
      <c r="J1035" s="145"/>
      <c r="K1035" s="145"/>
      <c r="L1035" s="145"/>
      <c r="M1035" s="145"/>
      <c r="N1035" s="145"/>
      <c r="O1035" s="145"/>
      <c r="P1035" s="145"/>
      <c r="Q1035" s="145"/>
      <c r="R1035" s="145"/>
      <c r="S1035" s="145"/>
      <c r="T1035" s="145"/>
      <c r="U1035" s="145"/>
      <c r="V1035" s="145"/>
      <c r="W1035" s="145"/>
      <c r="X1035" s="145"/>
      <c r="Y1035" s="145"/>
      <c r="Z1035" s="145"/>
      <c r="AA1035" s="145"/>
      <c r="AB1035" s="145"/>
      <c r="AC1035" s="145"/>
      <c r="AD1035" s="145"/>
    </row>
  </sheetData>
  <mergeCells count="46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76:D76"/>
    <mergeCell ref="B77:D77"/>
    <mergeCell ref="B69:D69"/>
    <mergeCell ref="B70:D70"/>
    <mergeCell ref="B71:D71"/>
    <mergeCell ref="B72:D72"/>
    <mergeCell ref="B73:D73"/>
    <mergeCell ref="B74:D74"/>
    <mergeCell ref="B75:D75"/>
  </mergeCells>
  <dataValidations>
    <dataValidation type="list" allowBlank="1" showInputMessage="1" showErrorMessage="1" prompt=" - " sqref="F10:X73">
      <formula1>"O"</formula1>
    </dataValidation>
    <dataValidation type="list" allowBlank="1" showInputMessage="1" showErrorMessage="1" prompt=" - " sqref="F74:X74">
      <formula1>"N,A,B"</formula1>
    </dataValidation>
    <dataValidation type="list" allowBlank="1" showInputMessage="1" showErrorMessage="1" prompt=" - " sqref="F75:X7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3" width="5.25"/>
    <col customWidth="1" min="14" max="14" width="4.0"/>
    <col customWidth="1" min="15" max="16" width="4.25"/>
    <col customWidth="1" min="17" max="17" width="3.88"/>
    <col customWidth="1" min="18" max="18" width="4.63"/>
    <col customWidth="1" min="19" max="19" width="4.5"/>
    <col customWidth="1" min="20" max="20" width="4.88"/>
    <col customWidth="1" min="21" max="21" width="5.0"/>
    <col customWidth="1" min="22" max="23" width="9.0"/>
    <col customWidth="1" min="24" max="27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</row>
    <row r="2" ht="13.5" customHeight="1">
      <c r="A2" s="147" t="s">
        <v>141</v>
      </c>
      <c r="B2" s="148"/>
      <c r="C2" s="149" t="str">
        <f>Functions!E16</f>
        <v>CD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Functions!D16</f>
        <v>createDonation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  <c r="AA2" s="145"/>
    </row>
    <row r="3" ht="13.5" customHeight="1">
      <c r="A3" s="158" t="s">
        <v>142</v>
      </c>
      <c r="B3" s="19"/>
      <c r="C3" s="159" t="s">
        <v>49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49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  <c r="AA3" s="145"/>
    </row>
    <row r="4" ht="13.5" customHeight="1">
      <c r="A4" s="158" t="s">
        <v>144</v>
      </c>
      <c r="B4" s="19"/>
      <c r="C4" s="167">
        <v>100.0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-6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  <c r="AA4" s="145"/>
    </row>
    <row r="5" ht="13.5" customHeight="1">
      <c r="A5" s="158" t="s">
        <v>146</v>
      </c>
      <c r="B5" s="19"/>
      <c r="C5" s="17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  <c r="AA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  <c r="AA6" s="145"/>
    </row>
    <row r="7" ht="13.5" customHeight="1">
      <c r="A7" s="175">
        <f>COUNTIF(F50:HR50,"P")</f>
        <v>16</v>
      </c>
      <c r="B7" s="176"/>
      <c r="C7" s="177">
        <f>COUNTIF(F50:HR50,"F")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COUNTIF(E49:HR49,"N")</f>
        <v>4</v>
      </c>
      <c r="M7" s="179">
        <f>COUNTIF(E49:HR49,"A")</f>
        <v>4</v>
      </c>
      <c r="N7" s="179">
        <f>COUNTIF(E49:HR49,"B")</f>
        <v>8</v>
      </c>
      <c r="O7" s="177">
        <f>COUNTA(E9:HU9)</f>
        <v>16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  <c r="AA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246" t="s">
        <v>155</v>
      </c>
      <c r="M9" s="246" t="s">
        <v>191</v>
      </c>
      <c r="N9" s="246" t="s">
        <v>217</v>
      </c>
      <c r="O9" s="246" t="s">
        <v>218</v>
      </c>
      <c r="P9" s="246" t="s">
        <v>219</v>
      </c>
      <c r="Q9" s="246" t="s">
        <v>220</v>
      </c>
      <c r="R9" s="246" t="s">
        <v>221</v>
      </c>
      <c r="S9" s="246" t="s">
        <v>259</v>
      </c>
      <c r="T9" s="246" t="s">
        <v>260</v>
      </c>
      <c r="U9" s="246" t="s">
        <v>261</v>
      </c>
      <c r="V9" s="188"/>
      <c r="W9" s="157"/>
      <c r="X9" s="145"/>
      <c r="Y9" s="145"/>
      <c r="Z9" s="145"/>
      <c r="AA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45"/>
      <c r="W10" s="145"/>
      <c r="X10" s="145"/>
      <c r="Y10" s="145"/>
      <c r="Z10" s="145"/>
      <c r="AA10" s="145"/>
    </row>
    <row r="11" ht="13.5" customHeight="1">
      <c r="A11" s="195"/>
      <c r="B11" s="196"/>
      <c r="C11" s="197"/>
      <c r="D11" s="198" t="s">
        <v>158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99" t="s">
        <v>159</v>
      </c>
      <c r="N11" s="199" t="s">
        <v>159</v>
      </c>
      <c r="O11" s="199" t="s">
        <v>159</v>
      </c>
      <c r="P11" s="199" t="s">
        <v>159</v>
      </c>
      <c r="Q11" s="199" t="s">
        <v>159</v>
      </c>
      <c r="R11" s="199" t="s">
        <v>159</v>
      </c>
      <c r="S11" s="199" t="s">
        <v>159</v>
      </c>
      <c r="T11" s="199" t="s">
        <v>159</v>
      </c>
      <c r="U11" s="199" t="s">
        <v>159</v>
      </c>
      <c r="V11" s="145"/>
      <c r="W11" s="157"/>
      <c r="X11" s="145"/>
      <c r="Y11" s="145"/>
      <c r="Z11" s="145"/>
      <c r="AA11" s="145"/>
    </row>
    <row r="12" ht="13.5" customHeight="1">
      <c r="A12" s="195"/>
      <c r="B12" s="200" t="s">
        <v>307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145"/>
      <c r="W12" s="145"/>
      <c r="X12" s="145"/>
      <c r="Y12" s="145"/>
      <c r="Z12" s="145"/>
      <c r="AA12" s="145"/>
    </row>
    <row r="13" ht="13.5" customHeight="1">
      <c r="A13" s="195"/>
      <c r="B13" s="196"/>
      <c r="C13" s="197"/>
      <c r="D13" s="202" t="s">
        <v>308</v>
      </c>
      <c r="E13" s="203"/>
      <c r="F13" s="199" t="s">
        <v>159</v>
      </c>
      <c r="G13" s="199" t="s">
        <v>159</v>
      </c>
      <c r="H13" s="199"/>
      <c r="I13" s="201"/>
      <c r="J13" s="199" t="s">
        <v>159</v>
      </c>
      <c r="K13" s="199" t="s">
        <v>159</v>
      </c>
      <c r="L13" s="199" t="s">
        <v>159</v>
      </c>
      <c r="M13" s="199" t="s">
        <v>159</v>
      </c>
      <c r="N13" s="199" t="s">
        <v>159</v>
      </c>
      <c r="O13" s="199" t="s">
        <v>159</v>
      </c>
      <c r="P13" s="199" t="s">
        <v>159</v>
      </c>
      <c r="Q13" s="199" t="s">
        <v>159</v>
      </c>
      <c r="R13" s="199" t="s">
        <v>159</v>
      </c>
      <c r="S13" s="199" t="s">
        <v>159</v>
      </c>
      <c r="T13" s="199" t="s">
        <v>159</v>
      </c>
      <c r="U13" s="199" t="s">
        <v>159</v>
      </c>
      <c r="V13" s="145"/>
      <c r="W13" s="145"/>
      <c r="X13" s="145"/>
      <c r="Y13" s="145"/>
      <c r="Z13" s="145"/>
      <c r="AA13" s="145"/>
    </row>
    <row r="14" ht="13.5" customHeight="1">
      <c r="A14" s="195"/>
      <c r="B14" s="196"/>
      <c r="C14" s="197"/>
      <c r="D14" s="202" t="s">
        <v>278</v>
      </c>
      <c r="E14" s="204"/>
      <c r="F14" s="201"/>
      <c r="G14" s="199"/>
      <c r="H14" s="199" t="s">
        <v>159</v>
      </c>
      <c r="I14" s="199" t="s">
        <v>159</v>
      </c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145"/>
      <c r="W14" s="145"/>
      <c r="X14" s="145"/>
      <c r="Y14" s="145"/>
      <c r="Z14" s="145"/>
      <c r="AA14" s="145"/>
    </row>
    <row r="15" ht="13.5" customHeight="1">
      <c r="A15" s="195"/>
      <c r="B15" s="200" t="s">
        <v>309</v>
      </c>
      <c r="C15" s="197"/>
      <c r="D15" s="202"/>
      <c r="E15" s="204"/>
      <c r="F15" s="201"/>
      <c r="G15" s="201"/>
      <c r="H15" s="201"/>
      <c r="I15" s="199"/>
      <c r="J15" s="201"/>
      <c r="K15" s="201"/>
      <c r="L15" s="199"/>
      <c r="M15" s="199"/>
      <c r="N15" s="199"/>
      <c r="O15" s="199"/>
      <c r="P15" s="199"/>
      <c r="Q15" s="199"/>
      <c r="R15" s="199"/>
      <c r="S15" s="199"/>
      <c r="T15" s="199"/>
      <c r="U15" s="201"/>
      <c r="V15" s="145"/>
      <c r="W15" s="145"/>
      <c r="X15" s="145"/>
      <c r="Y15" s="145"/>
      <c r="Z15" s="145"/>
      <c r="AA15" s="145"/>
    </row>
    <row r="16" ht="13.5" customHeight="1">
      <c r="A16" s="195"/>
      <c r="B16" s="196"/>
      <c r="C16" s="197"/>
      <c r="D16" s="202" t="s">
        <v>281</v>
      </c>
      <c r="E16" s="204"/>
      <c r="F16" s="199" t="s">
        <v>159</v>
      </c>
      <c r="G16" s="199" t="s">
        <v>159</v>
      </c>
      <c r="H16" s="199" t="s">
        <v>159</v>
      </c>
      <c r="I16" s="199" t="s">
        <v>159</v>
      </c>
      <c r="J16" s="199"/>
      <c r="K16" s="199"/>
      <c r="L16" s="199"/>
      <c r="M16" s="199"/>
      <c r="N16" s="199" t="s">
        <v>159</v>
      </c>
      <c r="O16" s="199" t="s">
        <v>159</v>
      </c>
      <c r="P16" s="199" t="s">
        <v>159</v>
      </c>
      <c r="Q16" s="199" t="s">
        <v>159</v>
      </c>
      <c r="R16" s="199" t="s">
        <v>159</v>
      </c>
      <c r="S16" s="199" t="s">
        <v>159</v>
      </c>
      <c r="T16" s="199" t="s">
        <v>159</v>
      </c>
      <c r="U16" s="199" t="s">
        <v>159</v>
      </c>
      <c r="V16" s="145"/>
      <c r="W16" s="145"/>
      <c r="X16" s="145"/>
      <c r="Y16" s="145"/>
      <c r="Z16" s="145"/>
      <c r="AA16" s="145"/>
    </row>
    <row r="17" ht="13.5" customHeight="1">
      <c r="A17" s="195"/>
      <c r="B17" s="196"/>
      <c r="C17" s="197"/>
      <c r="D17" s="202" t="s">
        <v>163</v>
      </c>
      <c r="E17" s="204"/>
      <c r="F17" s="201"/>
      <c r="G17" s="201"/>
      <c r="H17" s="201"/>
      <c r="I17" s="201"/>
      <c r="J17" s="199" t="s">
        <v>159</v>
      </c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45"/>
      <c r="W17" s="145"/>
      <c r="X17" s="145"/>
      <c r="Y17" s="145"/>
      <c r="Z17" s="145"/>
      <c r="AA17" s="145"/>
    </row>
    <row r="18" ht="13.5" customHeight="1">
      <c r="A18" s="195"/>
      <c r="B18" s="200"/>
      <c r="C18" s="197"/>
      <c r="D18" s="202" t="s">
        <v>278</v>
      </c>
      <c r="E18" s="204"/>
      <c r="F18" s="201"/>
      <c r="G18" s="201"/>
      <c r="H18" s="201"/>
      <c r="I18" s="201"/>
      <c r="J18" s="201"/>
      <c r="K18" s="199" t="s">
        <v>159</v>
      </c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145"/>
      <c r="W18" s="145"/>
      <c r="X18" s="145"/>
      <c r="Y18" s="145"/>
      <c r="Z18" s="145"/>
      <c r="AA18" s="145"/>
    </row>
    <row r="19" ht="13.5" customHeight="1">
      <c r="A19" s="195"/>
      <c r="B19" s="196"/>
      <c r="C19" s="197"/>
      <c r="D19" s="202" t="s">
        <v>283</v>
      </c>
      <c r="E19" s="204"/>
      <c r="F19" s="201"/>
      <c r="G19" s="201"/>
      <c r="H19" s="201"/>
      <c r="I19" s="201"/>
      <c r="J19" s="199"/>
      <c r="K19" s="199"/>
      <c r="L19" s="199" t="s">
        <v>159</v>
      </c>
      <c r="M19" s="201"/>
      <c r="N19" s="201"/>
      <c r="O19" s="201"/>
      <c r="P19" s="201"/>
      <c r="Q19" s="201"/>
      <c r="R19" s="201"/>
      <c r="S19" s="201"/>
      <c r="T19" s="201"/>
      <c r="U19" s="201"/>
      <c r="V19" s="145"/>
      <c r="W19" s="145"/>
      <c r="X19" s="145"/>
      <c r="Y19" s="145"/>
      <c r="Z19" s="145"/>
      <c r="AA19" s="145"/>
    </row>
    <row r="20" ht="13.5" customHeight="1">
      <c r="A20" s="195"/>
      <c r="B20" s="196"/>
      <c r="C20" s="197"/>
      <c r="D20" s="202" t="s">
        <v>282</v>
      </c>
      <c r="E20" s="204"/>
      <c r="F20" s="201"/>
      <c r="G20" s="199"/>
      <c r="H20" s="199"/>
      <c r="I20" s="201"/>
      <c r="J20" s="201"/>
      <c r="K20" s="201"/>
      <c r="L20" s="201"/>
      <c r="M20" s="199" t="s">
        <v>159</v>
      </c>
      <c r="N20" s="201"/>
      <c r="O20" s="201"/>
      <c r="P20" s="201"/>
      <c r="Q20" s="201"/>
      <c r="R20" s="201"/>
      <c r="S20" s="201"/>
      <c r="T20" s="201"/>
      <c r="U20" s="201"/>
      <c r="V20" s="145"/>
      <c r="W20" s="145"/>
      <c r="X20" s="145"/>
      <c r="Y20" s="145"/>
      <c r="Z20" s="145"/>
      <c r="AA20" s="145"/>
    </row>
    <row r="21" ht="13.5" customHeight="1">
      <c r="A21" s="195"/>
      <c r="B21" s="200" t="s">
        <v>310</v>
      </c>
      <c r="C21" s="197"/>
      <c r="D21" s="202"/>
      <c r="E21" s="204"/>
      <c r="F21" s="201"/>
      <c r="G21" s="199"/>
      <c r="H21" s="199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145"/>
      <c r="W21" s="145"/>
      <c r="X21" s="145"/>
      <c r="Y21" s="145"/>
      <c r="Z21" s="145"/>
      <c r="AA21" s="145"/>
    </row>
    <row r="22" ht="13.5" customHeight="1">
      <c r="A22" s="195"/>
      <c r="B22" s="196"/>
      <c r="C22" s="197"/>
      <c r="D22" s="202">
        <v>100000.0</v>
      </c>
      <c r="E22" s="204"/>
      <c r="F22" s="199" t="s">
        <v>159</v>
      </c>
      <c r="G22" s="199" t="s">
        <v>159</v>
      </c>
      <c r="H22" s="199" t="s">
        <v>159</v>
      </c>
      <c r="I22" s="199" t="s">
        <v>159</v>
      </c>
      <c r="J22" s="199" t="s">
        <v>159</v>
      </c>
      <c r="K22" s="199" t="s">
        <v>159</v>
      </c>
      <c r="L22" s="199" t="s">
        <v>159</v>
      </c>
      <c r="M22" s="199" t="s">
        <v>159</v>
      </c>
      <c r="N22" s="201"/>
      <c r="O22" s="201"/>
      <c r="P22" s="201"/>
      <c r="Q22" s="201"/>
      <c r="R22" s="201"/>
      <c r="S22" s="201"/>
      <c r="T22" s="201"/>
      <c r="U22" s="199" t="s">
        <v>159</v>
      </c>
      <c r="V22" s="145"/>
      <c r="W22" s="145"/>
      <c r="X22" s="145"/>
      <c r="Y22" s="145"/>
      <c r="Z22" s="145"/>
      <c r="AA22" s="145"/>
    </row>
    <row r="23" ht="13.5" customHeight="1">
      <c r="A23" s="195"/>
      <c r="B23" s="196"/>
      <c r="C23" s="197"/>
      <c r="D23" s="202">
        <v>0.0</v>
      </c>
      <c r="E23" s="204"/>
      <c r="F23" s="201"/>
      <c r="G23" s="199"/>
      <c r="H23" s="199"/>
      <c r="I23" s="201"/>
      <c r="J23" s="201"/>
      <c r="K23" s="201"/>
      <c r="L23" s="201"/>
      <c r="M23" s="201"/>
      <c r="N23" s="199" t="s">
        <v>159</v>
      </c>
      <c r="O23" s="201"/>
      <c r="P23" s="201"/>
      <c r="Q23" s="201"/>
      <c r="R23" s="201"/>
      <c r="S23" s="201"/>
      <c r="T23" s="201"/>
      <c r="U23" s="201"/>
      <c r="V23" s="145"/>
      <c r="W23" s="145"/>
      <c r="X23" s="145"/>
      <c r="Y23" s="145"/>
      <c r="Z23" s="145"/>
      <c r="AA23" s="145"/>
    </row>
    <row r="24" ht="13.5" customHeight="1">
      <c r="A24" s="195"/>
      <c r="B24" s="196"/>
      <c r="C24" s="197"/>
      <c r="D24" s="202">
        <v>-1000.0</v>
      </c>
      <c r="E24" s="204"/>
      <c r="F24" s="201"/>
      <c r="G24" s="199"/>
      <c r="H24" s="199"/>
      <c r="I24" s="201"/>
      <c r="J24" s="201"/>
      <c r="K24" s="201"/>
      <c r="L24" s="201"/>
      <c r="M24" s="201"/>
      <c r="N24" s="201"/>
      <c r="O24" s="199" t="s">
        <v>159</v>
      </c>
      <c r="P24" s="201"/>
      <c r="Q24" s="201"/>
      <c r="R24" s="201"/>
      <c r="S24" s="201"/>
      <c r="T24" s="201"/>
      <c r="U24" s="201"/>
      <c r="V24" s="145"/>
      <c r="W24" s="145"/>
      <c r="X24" s="145"/>
      <c r="Y24" s="145"/>
      <c r="Z24" s="145"/>
      <c r="AA24" s="145"/>
    </row>
    <row r="25" ht="13.5" customHeight="1">
      <c r="A25" s="195"/>
      <c r="B25" s="196"/>
      <c r="C25" s="197"/>
      <c r="D25" s="202">
        <v>999.0</v>
      </c>
      <c r="E25" s="204"/>
      <c r="F25" s="201"/>
      <c r="G25" s="199"/>
      <c r="H25" s="199"/>
      <c r="I25" s="201"/>
      <c r="J25" s="201"/>
      <c r="K25" s="201"/>
      <c r="L25" s="201"/>
      <c r="M25" s="201"/>
      <c r="N25" s="201"/>
      <c r="O25" s="201"/>
      <c r="P25" s="199" t="s">
        <v>159</v>
      </c>
      <c r="Q25" s="201"/>
      <c r="R25" s="201"/>
      <c r="S25" s="201"/>
      <c r="T25" s="201"/>
      <c r="U25" s="201"/>
      <c r="V25" s="145"/>
      <c r="W25" s="145"/>
      <c r="X25" s="145"/>
      <c r="Y25" s="145"/>
      <c r="Z25" s="145"/>
      <c r="AA25" s="145"/>
    </row>
    <row r="26" ht="13.5" customHeight="1">
      <c r="A26" s="195"/>
      <c r="B26" s="196"/>
      <c r="C26" s="197"/>
      <c r="D26" s="202">
        <v>1000.0</v>
      </c>
      <c r="E26" s="204"/>
      <c r="F26" s="201"/>
      <c r="G26" s="199"/>
      <c r="H26" s="199"/>
      <c r="I26" s="201"/>
      <c r="J26" s="201"/>
      <c r="K26" s="201"/>
      <c r="L26" s="201"/>
      <c r="M26" s="201"/>
      <c r="N26" s="201"/>
      <c r="O26" s="201"/>
      <c r="P26" s="201"/>
      <c r="Q26" s="199" t="s">
        <v>159</v>
      </c>
      <c r="R26" s="201"/>
      <c r="S26" s="201"/>
      <c r="T26" s="201"/>
      <c r="U26" s="201"/>
      <c r="V26" s="145"/>
      <c r="W26" s="145"/>
      <c r="X26" s="145"/>
      <c r="Y26" s="145"/>
      <c r="Z26" s="145"/>
      <c r="AA26" s="145"/>
    </row>
    <row r="27" ht="13.5" customHeight="1">
      <c r="A27" s="195"/>
      <c r="B27" s="196"/>
      <c r="C27" s="197"/>
      <c r="D27" s="202">
        <v>5.0E8</v>
      </c>
      <c r="E27" s="204"/>
      <c r="F27" s="201"/>
      <c r="G27" s="199"/>
      <c r="H27" s="199"/>
      <c r="I27" s="201"/>
      <c r="J27" s="201"/>
      <c r="K27" s="201"/>
      <c r="L27" s="201"/>
      <c r="M27" s="201"/>
      <c r="N27" s="201"/>
      <c r="O27" s="201"/>
      <c r="P27" s="201"/>
      <c r="Q27" s="201"/>
      <c r="R27" s="199" t="s">
        <v>159</v>
      </c>
      <c r="S27" s="201"/>
      <c r="T27" s="201"/>
      <c r="U27" s="201"/>
      <c r="V27" s="145"/>
      <c r="W27" s="145"/>
      <c r="X27" s="145"/>
      <c r="Y27" s="145"/>
      <c r="Z27" s="145"/>
      <c r="AA27" s="145"/>
    </row>
    <row r="28" ht="13.5" customHeight="1">
      <c r="A28" s="195"/>
      <c r="B28" s="196"/>
      <c r="C28" s="197"/>
      <c r="D28" s="202">
        <v>5.00000001E8</v>
      </c>
      <c r="E28" s="204"/>
      <c r="F28" s="201"/>
      <c r="G28" s="199"/>
      <c r="H28" s="199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199" t="s">
        <v>159</v>
      </c>
      <c r="T28" s="201"/>
      <c r="U28" s="201"/>
      <c r="V28" s="145"/>
      <c r="W28" s="145"/>
      <c r="X28" s="145"/>
      <c r="Y28" s="145"/>
      <c r="Z28" s="145"/>
      <c r="AA28" s="145"/>
    </row>
    <row r="29" ht="13.5" customHeight="1">
      <c r="A29" s="195"/>
      <c r="B29" s="196"/>
      <c r="C29" s="197"/>
      <c r="D29" s="202" t="s">
        <v>278</v>
      </c>
      <c r="E29" s="204"/>
      <c r="F29" s="201"/>
      <c r="G29" s="199"/>
      <c r="H29" s="199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199" t="s">
        <v>159</v>
      </c>
      <c r="U29" s="201"/>
      <c r="V29" s="145"/>
      <c r="W29" s="145"/>
      <c r="X29" s="145"/>
      <c r="Y29" s="145"/>
      <c r="Z29" s="145"/>
      <c r="AA29" s="145"/>
    </row>
    <row r="30" ht="13.5" customHeight="1">
      <c r="A30" s="195"/>
      <c r="B30" s="200" t="s">
        <v>311</v>
      </c>
      <c r="C30" s="197"/>
      <c r="D30" s="202"/>
      <c r="E30" s="204"/>
      <c r="F30" s="201"/>
      <c r="G30" s="199"/>
      <c r="H30" s="199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145"/>
      <c r="W30" s="145"/>
      <c r="X30" s="145"/>
      <c r="Y30" s="145"/>
      <c r="Z30" s="145"/>
      <c r="AA30" s="145"/>
    </row>
    <row r="31" ht="13.5" customHeight="1">
      <c r="A31" s="195"/>
      <c r="B31" s="196"/>
      <c r="C31" s="197"/>
      <c r="D31" s="202" t="b">
        <v>1</v>
      </c>
      <c r="E31" s="204"/>
      <c r="F31" s="201"/>
      <c r="G31" s="199" t="s">
        <v>159</v>
      </c>
      <c r="H31" s="199" t="s">
        <v>159</v>
      </c>
      <c r="I31" s="201"/>
      <c r="J31" s="199" t="s">
        <v>159</v>
      </c>
      <c r="K31" s="199" t="s">
        <v>159</v>
      </c>
      <c r="L31" s="199" t="s">
        <v>159</v>
      </c>
      <c r="M31" s="199" t="s">
        <v>159</v>
      </c>
      <c r="N31" s="199" t="s">
        <v>159</v>
      </c>
      <c r="O31" s="199" t="s">
        <v>159</v>
      </c>
      <c r="P31" s="199" t="s">
        <v>159</v>
      </c>
      <c r="Q31" s="199" t="s">
        <v>159</v>
      </c>
      <c r="R31" s="199" t="s">
        <v>159</v>
      </c>
      <c r="S31" s="199" t="s">
        <v>159</v>
      </c>
      <c r="T31" s="199" t="s">
        <v>159</v>
      </c>
      <c r="U31" s="201"/>
      <c r="V31" s="145"/>
      <c r="W31" s="145"/>
      <c r="X31" s="145"/>
      <c r="Y31" s="145"/>
      <c r="Z31" s="145"/>
      <c r="AA31" s="145"/>
    </row>
    <row r="32" ht="13.5" customHeight="1">
      <c r="A32" s="195"/>
      <c r="B32" s="196"/>
      <c r="C32" s="197"/>
      <c r="D32" s="202" t="b">
        <v>0</v>
      </c>
      <c r="E32" s="204"/>
      <c r="F32" s="199" t="s">
        <v>159</v>
      </c>
      <c r="G32" s="199"/>
      <c r="H32" s="199"/>
      <c r="I32" s="199" t="s">
        <v>159</v>
      </c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145"/>
      <c r="W32" s="145"/>
      <c r="X32" s="145"/>
      <c r="Y32" s="145"/>
      <c r="Z32" s="145"/>
      <c r="AA32" s="145"/>
    </row>
    <row r="33" ht="13.5" customHeight="1">
      <c r="A33" s="195"/>
      <c r="B33" s="196"/>
      <c r="C33" s="197"/>
      <c r="D33" s="202" t="s">
        <v>312</v>
      </c>
      <c r="E33" s="204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 t="s">
        <v>159</v>
      </c>
      <c r="V33" s="145"/>
      <c r="W33" s="145"/>
      <c r="X33" s="145"/>
      <c r="Y33" s="145"/>
      <c r="Z33" s="145"/>
      <c r="AA33" s="145"/>
    </row>
    <row r="34" ht="13.5" customHeight="1">
      <c r="A34" s="207" t="s">
        <v>168</v>
      </c>
      <c r="B34" s="208" t="s">
        <v>169</v>
      </c>
      <c r="C34" s="209"/>
      <c r="D34" s="210"/>
      <c r="E34" s="211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45"/>
      <c r="W34" s="145"/>
      <c r="X34" s="145"/>
      <c r="Y34" s="145"/>
      <c r="Z34" s="145"/>
      <c r="AA34" s="145"/>
    </row>
    <row r="35" ht="13.5" customHeight="1">
      <c r="A35" s="212"/>
      <c r="B35" s="213"/>
      <c r="C35" s="214"/>
      <c r="D35" s="215" t="s">
        <v>170</v>
      </c>
      <c r="E35" s="216"/>
      <c r="F35" s="201" t="s">
        <v>159</v>
      </c>
      <c r="G35" s="199" t="s">
        <v>159</v>
      </c>
      <c r="H35" s="199" t="s">
        <v>159</v>
      </c>
      <c r="I35" s="199" t="s">
        <v>159</v>
      </c>
      <c r="J35" s="201"/>
      <c r="K35" s="201"/>
      <c r="L35" s="201"/>
      <c r="M35" s="201"/>
      <c r="N35" s="201"/>
      <c r="O35" s="201"/>
      <c r="P35" s="201"/>
      <c r="Q35" s="199" t="s">
        <v>159</v>
      </c>
      <c r="R35" s="199" t="s">
        <v>159</v>
      </c>
      <c r="S35" s="201"/>
      <c r="T35" s="201"/>
      <c r="U35" s="201"/>
      <c r="V35" s="145"/>
      <c r="W35" s="145"/>
      <c r="X35" s="145"/>
      <c r="Y35" s="145"/>
      <c r="Z35" s="145"/>
      <c r="AA35" s="145"/>
    </row>
    <row r="36" ht="13.5" customHeight="1">
      <c r="A36" s="212"/>
      <c r="B36" s="213"/>
      <c r="C36" s="217"/>
      <c r="D36" s="215" t="s">
        <v>171</v>
      </c>
      <c r="E36" s="218"/>
      <c r="F36" s="201"/>
      <c r="G36" s="199"/>
      <c r="H36" s="199"/>
      <c r="I36" s="199"/>
      <c r="J36" s="199" t="s">
        <v>159</v>
      </c>
      <c r="K36" s="199" t="s">
        <v>159</v>
      </c>
      <c r="L36" s="199" t="s">
        <v>159</v>
      </c>
      <c r="M36" s="199" t="s">
        <v>159</v>
      </c>
      <c r="N36" s="199" t="s">
        <v>159</v>
      </c>
      <c r="O36" s="199" t="s">
        <v>159</v>
      </c>
      <c r="P36" s="199" t="s">
        <v>159</v>
      </c>
      <c r="Q36" s="199"/>
      <c r="R36" s="199"/>
      <c r="S36" s="199" t="s">
        <v>159</v>
      </c>
      <c r="T36" s="199" t="s">
        <v>159</v>
      </c>
      <c r="U36" s="199" t="s">
        <v>159</v>
      </c>
      <c r="V36" s="145"/>
      <c r="W36" s="145"/>
      <c r="X36" s="145"/>
      <c r="Y36" s="145"/>
      <c r="Z36" s="145"/>
      <c r="AA36" s="145"/>
    </row>
    <row r="37" ht="13.5" customHeight="1">
      <c r="A37" s="212"/>
      <c r="B37" s="213" t="s">
        <v>172</v>
      </c>
      <c r="C37" s="217"/>
      <c r="D37" s="215"/>
      <c r="E37" s="218"/>
      <c r="F37" s="201"/>
      <c r="G37" s="199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145"/>
      <c r="W37" s="145"/>
      <c r="X37" s="145"/>
      <c r="Y37" s="145"/>
      <c r="Z37" s="145"/>
      <c r="AA37" s="145"/>
    </row>
    <row r="38" ht="13.5" customHeight="1">
      <c r="A38" s="212"/>
      <c r="B38" s="213"/>
      <c r="C38" s="217"/>
      <c r="D38" s="219" t="s">
        <v>175</v>
      </c>
      <c r="E38" s="218"/>
      <c r="F38" s="201"/>
      <c r="G38" s="199"/>
      <c r="H38" s="201"/>
      <c r="I38" s="201"/>
      <c r="J38" s="199" t="s">
        <v>159</v>
      </c>
      <c r="K38" s="199" t="s">
        <v>159</v>
      </c>
      <c r="L38" s="199" t="s">
        <v>159</v>
      </c>
      <c r="M38" s="201"/>
      <c r="N38" s="199" t="s">
        <v>159</v>
      </c>
      <c r="O38" s="199" t="s">
        <v>159</v>
      </c>
      <c r="P38" s="199" t="s">
        <v>159</v>
      </c>
      <c r="Q38" s="201"/>
      <c r="R38" s="201"/>
      <c r="S38" s="199" t="s">
        <v>159</v>
      </c>
      <c r="T38" s="199" t="s">
        <v>159</v>
      </c>
      <c r="U38" s="199" t="s">
        <v>159</v>
      </c>
      <c r="V38" s="145"/>
      <c r="W38" s="145"/>
      <c r="X38" s="145"/>
      <c r="Y38" s="145"/>
      <c r="Z38" s="145"/>
      <c r="AA38" s="145"/>
    </row>
    <row r="39" ht="13.5" customHeight="1">
      <c r="A39" s="212"/>
      <c r="B39" s="213"/>
      <c r="C39" s="217"/>
      <c r="D39" s="219" t="s">
        <v>288</v>
      </c>
      <c r="E39" s="218"/>
      <c r="F39" s="201"/>
      <c r="G39" s="199"/>
      <c r="H39" s="199"/>
      <c r="I39" s="199"/>
      <c r="J39" s="201"/>
      <c r="K39" s="201"/>
      <c r="L39" s="201"/>
      <c r="M39" s="199" t="s">
        <v>159</v>
      </c>
      <c r="N39" s="201"/>
      <c r="O39" s="201"/>
      <c r="P39" s="201"/>
      <c r="Q39" s="201"/>
      <c r="R39" s="201"/>
      <c r="S39" s="201"/>
      <c r="T39" s="201"/>
      <c r="U39" s="201"/>
      <c r="V39" s="145"/>
      <c r="W39" s="145"/>
      <c r="X39" s="145"/>
      <c r="Y39" s="145"/>
      <c r="Z39" s="145"/>
      <c r="AA39" s="145"/>
    </row>
    <row r="40" ht="13.5" customHeight="1">
      <c r="A40" s="212"/>
      <c r="B40" s="213" t="s">
        <v>176</v>
      </c>
      <c r="C40" s="217"/>
      <c r="D40" s="215"/>
      <c r="E40" s="218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145"/>
      <c r="W40" s="145"/>
      <c r="X40" s="145"/>
      <c r="Y40" s="145"/>
      <c r="Z40" s="145"/>
      <c r="AA40" s="145"/>
    </row>
    <row r="41" ht="13.5" customHeight="1">
      <c r="A41" s="212"/>
      <c r="B41" s="213"/>
      <c r="C41" s="217"/>
      <c r="D41" s="219" t="s">
        <v>313</v>
      </c>
      <c r="E41" s="218"/>
      <c r="F41" s="199" t="s">
        <v>159</v>
      </c>
      <c r="G41" s="199" t="s">
        <v>159</v>
      </c>
      <c r="H41" s="199" t="s">
        <v>159</v>
      </c>
      <c r="I41" s="199" t="s">
        <v>159</v>
      </c>
      <c r="J41" s="201"/>
      <c r="K41" s="201"/>
      <c r="L41" s="201"/>
      <c r="M41" s="201"/>
      <c r="N41" s="201"/>
      <c r="O41" s="201"/>
      <c r="P41" s="201"/>
      <c r="Q41" s="199" t="s">
        <v>159</v>
      </c>
      <c r="R41" s="199" t="s">
        <v>159</v>
      </c>
      <c r="S41" s="201"/>
      <c r="T41" s="201"/>
      <c r="U41" s="201"/>
      <c r="V41" s="145"/>
      <c r="W41" s="145"/>
      <c r="X41" s="145"/>
      <c r="Y41" s="145"/>
      <c r="Z41" s="145"/>
      <c r="AA41" s="145"/>
    </row>
    <row r="42" ht="13.5" customHeight="1">
      <c r="A42" s="247"/>
      <c r="B42" s="248" t="s">
        <v>314</v>
      </c>
      <c r="C42" s="18"/>
      <c r="D42" s="18"/>
      <c r="E42" s="249"/>
      <c r="F42" s="224"/>
      <c r="G42" s="224"/>
      <c r="H42" s="225"/>
      <c r="I42" s="225"/>
      <c r="J42" s="224" t="s">
        <v>159</v>
      </c>
      <c r="K42" s="224" t="s">
        <v>159</v>
      </c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145"/>
      <c r="W42" s="145"/>
      <c r="X42" s="145"/>
      <c r="Y42" s="145"/>
      <c r="Z42" s="145"/>
      <c r="AA42" s="145"/>
    </row>
    <row r="43" ht="13.5" customHeight="1">
      <c r="A43" s="250"/>
      <c r="B43" s="248" t="s">
        <v>315</v>
      </c>
      <c r="C43" s="18"/>
      <c r="D43" s="18"/>
      <c r="E43" s="251"/>
      <c r="F43" s="252"/>
      <c r="G43" s="252"/>
      <c r="H43" s="252"/>
      <c r="I43" s="253"/>
      <c r="J43" s="253"/>
      <c r="K43" s="253"/>
      <c r="L43" s="252" t="s">
        <v>159</v>
      </c>
      <c r="M43" s="253"/>
      <c r="N43" s="253"/>
      <c r="O43" s="253"/>
      <c r="P43" s="253"/>
      <c r="Q43" s="253"/>
      <c r="R43" s="253"/>
      <c r="S43" s="253"/>
      <c r="T43" s="253"/>
      <c r="U43" s="253"/>
      <c r="V43" s="145"/>
      <c r="W43" s="145"/>
      <c r="X43" s="145"/>
      <c r="Y43" s="145"/>
      <c r="Z43" s="145"/>
      <c r="AA43" s="145"/>
    </row>
    <row r="44" ht="13.5" customHeight="1">
      <c r="A44" s="250"/>
      <c r="B44" s="248" t="s">
        <v>316</v>
      </c>
      <c r="C44" s="18"/>
      <c r="D44" s="18"/>
      <c r="E44" s="251"/>
      <c r="F44" s="252"/>
      <c r="G44" s="252"/>
      <c r="H44" s="252"/>
      <c r="I44" s="252"/>
      <c r="J44" s="253"/>
      <c r="K44" s="253"/>
      <c r="L44" s="253"/>
      <c r="M44" s="252" t="s">
        <v>159</v>
      </c>
      <c r="N44" s="253"/>
      <c r="O44" s="253"/>
      <c r="P44" s="253"/>
      <c r="Q44" s="253"/>
      <c r="R44" s="253"/>
      <c r="S44" s="253"/>
      <c r="T44" s="253"/>
      <c r="U44" s="253"/>
      <c r="V44" s="145"/>
      <c r="W44" s="145"/>
      <c r="X44" s="145"/>
      <c r="Y44" s="145"/>
      <c r="Z44" s="145"/>
      <c r="AA44" s="145"/>
    </row>
    <row r="45" ht="13.5" customHeight="1">
      <c r="A45" s="250"/>
      <c r="B45" s="248" t="s">
        <v>317</v>
      </c>
      <c r="C45" s="18"/>
      <c r="D45" s="18"/>
      <c r="E45" s="251"/>
      <c r="F45" s="252"/>
      <c r="G45" s="252"/>
      <c r="H45" s="252"/>
      <c r="I45" s="252"/>
      <c r="J45" s="252"/>
      <c r="K45" s="253"/>
      <c r="L45" s="253"/>
      <c r="M45" s="253"/>
      <c r="N45" s="252" t="s">
        <v>159</v>
      </c>
      <c r="O45" s="252" t="s">
        <v>159</v>
      </c>
      <c r="P45" s="252" t="s">
        <v>159</v>
      </c>
      <c r="Q45" s="253"/>
      <c r="R45" s="253"/>
      <c r="S45" s="253"/>
      <c r="T45" s="253"/>
      <c r="U45" s="253"/>
      <c r="V45" s="145"/>
      <c r="W45" s="145"/>
      <c r="X45" s="145"/>
      <c r="Y45" s="145"/>
      <c r="Z45" s="145"/>
      <c r="AA45" s="145"/>
    </row>
    <row r="46" ht="13.5" customHeight="1">
      <c r="A46" s="250"/>
      <c r="B46" s="248" t="s">
        <v>318</v>
      </c>
      <c r="C46" s="18"/>
      <c r="D46" s="18"/>
      <c r="E46" s="251"/>
      <c r="F46" s="252"/>
      <c r="G46" s="252"/>
      <c r="H46" s="252"/>
      <c r="I46" s="252"/>
      <c r="J46" s="252"/>
      <c r="K46" s="252"/>
      <c r="L46" s="253"/>
      <c r="M46" s="253"/>
      <c r="N46" s="253"/>
      <c r="O46" s="253"/>
      <c r="P46" s="253"/>
      <c r="Q46" s="253"/>
      <c r="R46" s="253"/>
      <c r="S46" s="252" t="s">
        <v>159</v>
      </c>
      <c r="T46" s="253"/>
      <c r="U46" s="253"/>
      <c r="V46" s="145"/>
      <c r="W46" s="145"/>
      <c r="X46" s="145"/>
      <c r="Y46" s="145"/>
      <c r="Z46" s="145"/>
      <c r="AA46" s="145"/>
    </row>
    <row r="47" ht="13.5" customHeight="1">
      <c r="A47" s="250"/>
      <c r="B47" s="248" t="s">
        <v>319</v>
      </c>
      <c r="C47" s="18"/>
      <c r="D47" s="18"/>
      <c r="E47" s="251"/>
      <c r="F47" s="252"/>
      <c r="G47" s="252"/>
      <c r="H47" s="252"/>
      <c r="I47" s="252"/>
      <c r="J47" s="252"/>
      <c r="K47" s="253"/>
      <c r="L47" s="252"/>
      <c r="M47" s="252"/>
      <c r="N47" s="252"/>
      <c r="O47" s="252"/>
      <c r="P47" s="252"/>
      <c r="Q47" s="252"/>
      <c r="R47" s="252"/>
      <c r="S47" s="252"/>
      <c r="T47" s="252" t="s">
        <v>159</v>
      </c>
      <c r="U47" s="253"/>
      <c r="V47" s="145"/>
      <c r="W47" s="145"/>
      <c r="X47" s="145"/>
      <c r="Y47" s="145"/>
      <c r="Z47" s="145"/>
      <c r="AA47" s="145"/>
    </row>
    <row r="48" ht="18.0" customHeight="1">
      <c r="A48" s="250"/>
      <c r="B48" s="254" t="s">
        <v>320</v>
      </c>
      <c r="C48" s="241"/>
      <c r="D48" s="241"/>
      <c r="E48" s="251"/>
      <c r="F48" s="252"/>
      <c r="G48" s="252"/>
      <c r="H48" s="252"/>
      <c r="I48" s="252"/>
      <c r="J48" s="252"/>
      <c r="K48" s="253"/>
      <c r="L48" s="252"/>
      <c r="M48" s="252"/>
      <c r="N48" s="252"/>
      <c r="O48" s="252"/>
      <c r="P48" s="252"/>
      <c r="Q48" s="252"/>
      <c r="R48" s="252"/>
      <c r="S48" s="252"/>
      <c r="T48" s="252"/>
      <c r="U48" s="252" t="s">
        <v>159</v>
      </c>
      <c r="V48" s="145"/>
      <c r="W48" s="145"/>
      <c r="X48" s="145"/>
      <c r="Y48" s="145"/>
      <c r="Z48" s="145"/>
      <c r="AA48" s="145"/>
    </row>
    <row r="49" ht="13.5" customHeight="1">
      <c r="A49" s="207" t="s">
        <v>184</v>
      </c>
      <c r="B49" s="255" t="s">
        <v>185</v>
      </c>
      <c r="C49" s="256"/>
      <c r="D49" s="257"/>
      <c r="E49" s="229"/>
      <c r="F49" s="230" t="s">
        <v>83</v>
      </c>
      <c r="G49" s="230" t="s">
        <v>83</v>
      </c>
      <c r="H49" s="230" t="s">
        <v>83</v>
      </c>
      <c r="I49" s="230" t="s">
        <v>83</v>
      </c>
      <c r="J49" s="230" t="s">
        <v>84</v>
      </c>
      <c r="K49" s="230" t="s">
        <v>84</v>
      </c>
      <c r="L49" s="230" t="s">
        <v>65</v>
      </c>
      <c r="M49" s="230" t="s">
        <v>65</v>
      </c>
      <c r="N49" s="230" t="s">
        <v>84</v>
      </c>
      <c r="O49" s="230" t="s">
        <v>65</v>
      </c>
      <c r="P49" s="230" t="s">
        <v>84</v>
      </c>
      <c r="Q49" s="230" t="s">
        <v>84</v>
      </c>
      <c r="R49" s="230" t="s">
        <v>84</v>
      </c>
      <c r="S49" s="230" t="s">
        <v>84</v>
      </c>
      <c r="T49" s="230" t="s">
        <v>84</v>
      </c>
      <c r="U49" s="231" t="s">
        <v>65</v>
      </c>
      <c r="V49" s="145"/>
      <c r="W49" s="145"/>
      <c r="X49" s="145"/>
      <c r="Y49" s="145"/>
      <c r="Z49" s="145"/>
      <c r="AA49" s="145"/>
    </row>
    <row r="50" ht="13.5" customHeight="1">
      <c r="A50" s="212"/>
      <c r="B50" s="232" t="s">
        <v>186</v>
      </c>
      <c r="C50" s="18"/>
      <c r="D50" s="19"/>
      <c r="E50" s="233"/>
      <c r="F50" s="234" t="s">
        <v>187</v>
      </c>
      <c r="G50" s="234" t="s">
        <v>187</v>
      </c>
      <c r="H50" s="234" t="s">
        <v>187</v>
      </c>
      <c r="I50" s="234" t="s">
        <v>187</v>
      </c>
      <c r="J50" s="234" t="s">
        <v>187</v>
      </c>
      <c r="K50" s="235" t="s">
        <v>187</v>
      </c>
      <c r="L50" s="235" t="s">
        <v>187</v>
      </c>
      <c r="M50" s="235" t="s">
        <v>187</v>
      </c>
      <c r="N50" s="235" t="s">
        <v>187</v>
      </c>
      <c r="O50" s="235" t="s">
        <v>187</v>
      </c>
      <c r="P50" s="235" t="s">
        <v>187</v>
      </c>
      <c r="Q50" s="235" t="s">
        <v>187</v>
      </c>
      <c r="R50" s="235" t="s">
        <v>187</v>
      </c>
      <c r="S50" s="235" t="s">
        <v>187</v>
      </c>
      <c r="T50" s="235" t="s">
        <v>187</v>
      </c>
      <c r="U50" s="235" t="s">
        <v>187</v>
      </c>
      <c r="V50" s="145"/>
      <c r="W50" s="145"/>
      <c r="X50" s="145"/>
      <c r="Y50" s="145"/>
      <c r="Z50" s="145"/>
      <c r="AA50" s="145"/>
    </row>
    <row r="51" ht="13.5" customHeight="1">
      <c r="A51" s="212"/>
      <c r="B51" s="236" t="s">
        <v>188</v>
      </c>
      <c r="C51" s="18"/>
      <c r="D51" s="19"/>
      <c r="E51" s="237"/>
      <c r="F51" s="238">
        <v>45991.0</v>
      </c>
      <c r="G51" s="238">
        <v>45991.0</v>
      </c>
      <c r="H51" s="238">
        <v>45991.0</v>
      </c>
      <c r="I51" s="238">
        <v>45991.0</v>
      </c>
      <c r="J51" s="238">
        <v>45991.0</v>
      </c>
      <c r="K51" s="238">
        <v>45991.0</v>
      </c>
      <c r="L51" s="238">
        <v>45991.0</v>
      </c>
      <c r="M51" s="238">
        <v>45991.0</v>
      </c>
      <c r="N51" s="238">
        <v>45991.0</v>
      </c>
      <c r="O51" s="238">
        <v>45991.0</v>
      </c>
      <c r="P51" s="238">
        <v>45991.0</v>
      </c>
      <c r="Q51" s="238">
        <v>45991.0</v>
      </c>
      <c r="R51" s="238">
        <v>45991.0</v>
      </c>
      <c r="S51" s="238">
        <v>45991.0</v>
      </c>
      <c r="T51" s="238">
        <v>45991.0</v>
      </c>
      <c r="U51" s="238">
        <v>45991.0</v>
      </c>
      <c r="V51" s="145"/>
      <c r="W51" s="145"/>
      <c r="X51" s="145"/>
      <c r="Y51" s="145"/>
      <c r="Z51" s="145"/>
      <c r="AA51" s="145"/>
    </row>
    <row r="52" ht="79.5" customHeight="1">
      <c r="A52" s="239"/>
      <c r="B52" s="240" t="s">
        <v>189</v>
      </c>
      <c r="C52" s="241"/>
      <c r="D52" s="242"/>
      <c r="E52" s="243"/>
      <c r="F52" s="244"/>
      <c r="G52" s="244"/>
      <c r="H52" s="244"/>
      <c r="I52" s="244"/>
      <c r="J52" s="244"/>
      <c r="K52" s="244"/>
      <c r="L52" s="244"/>
      <c r="M52" s="244"/>
      <c r="N52" s="244"/>
      <c r="O52" s="244"/>
      <c r="P52" s="244"/>
      <c r="Q52" s="244"/>
      <c r="R52" s="244"/>
      <c r="S52" s="244"/>
      <c r="T52" s="145"/>
      <c r="U52" s="145"/>
      <c r="V52" s="145"/>
      <c r="W52" s="145"/>
      <c r="X52" s="145"/>
      <c r="Y52" s="145"/>
    </row>
    <row r="53" ht="12.0" customHeight="1">
      <c r="A53" s="245"/>
      <c r="B53" s="182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</row>
    <row r="54" ht="13.5" customHeight="1">
      <c r="A54" s="145"/>
      <c r="B54" s="182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</row>
    <row r="55" ht="13.5" customHeight="1">
      <c r="A55" s="145"/>
      <c r="B55" s="182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</row>
    <row r="56" ht="13.5" customHeight="1">
      <c r="A56" s="145"/>
      <c r="B56" s="182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</row>
    <row r="57" ht="13.5" customHeight="1">
      <c r="A57" s="145"/>
      <c r="B57" s="182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</row>
    <row r="58" ht="13.5" customHeight="1">
      <c r="A58" s="145"/>
      <c r="B58" s="182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</row>
    <row r="59" ht="13.5" customHeight="1">
      <c r="A59" s="145"/>
      <c r="B59" s="182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</row>
    <row r="60" ht="13.5" customHeight="1">
      <c r="A60" s="145"/>
      <c r="B60" s="182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</row>
    <row r="61" ht="13.5" customHeight="1">
      <c r="A61" s="145"/>
      <c r="B61" s="182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</row>
    <row r="62" ht="13.5" customHeight="1">
      <c r="A62" s="145"/>
      <c r="B62" s="182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ht="13.5" customHeight="1">
      <c r="A63" s="145"/>
      <c r="B63" s="182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</row>
    <row r="64" ht="13.5" customHeight="1">
      <c r="A64" s="145"/>
      <c r="B64" s="182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</row>
    <row r="65" ht="13.5" customHeight="1">
      <c r="A65" s="145"/>
      <c r="B65" s="182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</row>
    <row r="66" ht="13.5" customHeight="1">
      <c r="A66" s="145"/>
      <c r="B66" s="182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</row>
    <row r="67" ht="13.5" customHeight="1">
      <c r="A67" s="145"/>
      <c r="B67" s="182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</row>
    <row r="68" ht="13.5" customHeight="1">
      <c r="A68" s="145"/>
      <c r="B68" s="182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</row>
    <row r="69" ht="13.5" customHeight="1">
      <c r="A69" s="145"/>
      <c r="B69" s="182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</row>
    <row r="70" ht="13.5" customHeight="1">
      <c r="A70" s="145"/>
      <c r="B70" s="182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</row>
    <row r="71" ht="13.5" customHeight="1">
      <c r="A71" s="145"/>
      <c r="B71" s="182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</row>
    <row r="72" ht="13.5" customHeight="1">
      <c r="A72" s="145"/>
      <c r="B72" s="182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</row>
    <row r="73" ht="13.5" customHeight="1">
      <c r="A73" s="1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</row>
    <row r="1002" ht="13.5" customHeight="1">
      <c r="A1002" s="145"/>
      <c r="B1002" s="182"/>
      <c r="C1002" s="145"/>
      <c r="D1002" s="146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</row>
    <row r="1003" ht="13.5" customHeight="1">
      <c r="A1003" s="145"/>
      <c r="B1003" s="182"/>
      <c r="C1003" s="145"/>
      <c r="D1003" s="146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</row>
    <row r="1004" ht="13.5" customHeight="1">
      <c r="A1004" s="145"/>
      <c r="B1004" s="182"/>
      <c r="C1004" s="145"/>
      <c r="D1004" s="146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</row>
    <row r="1005" ht="13.5" customHeight="1">
      <c r="A1005" s="145"/>
      <c r="B1005" s="182"/>
      <c r="C1005" s="145"/>
      <c r="D1005" s="146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</row>
    <row r="1006" ht="13.5" customHeight="1">
      <c r="A1006" s="145"/>
      <c r="B1006" s="182"/>
      <c r="C1006" s="145"/>
      <c r="D1006" s="146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</row>
    <row r="1007" ht="13.5" customHeight="1">
      <c r="A1007" s="145"/>
      <c r="B1007" s="182"/>
      <c r="C1007" s="145"/>
      <c r="D1007" s="146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  <c r="AA1007" s="145"/>
    </row>
    <row r="1008" ht="13.5" customHeight="1">
      <c r="A1008" s="145"/>
      <c r="B1008" s="182"/>
      <c r="C1008" s="145"/>
      <c r="D1008" s="146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  <c r="W1008" s="145"/>
      <c r="X1008" s="145"/>
      <c r="Y1008" s="145"/>
      <c r="Z1008" s="145"/>
      <c r="AA1008" s="145"/>
    </row>
    <row r="1009" ht="13.5" customHeight="1">
      <c r="A1009" s="145"/>
      <c r="B1009" s="182"/>
      <c r="C1009" s="145"/>
      <c r="D1009" s="146"/>
      <c r="E1009" s="145"/>
      <c r="F1009" s="145"/>
      <c r="G1009" s="145"/>
      <c r="H1009" s="145"/>
      <c r="I1009" s="145"/>
      <c r="J1009" s="145"/>
      <c r="K1009" s="145"/>
      <c r="L1009" s="145"/>
      <c r="M1009" s="145"/>
      <c r="N1009" s="145"/>
      <c r="O1009" s="145"/>
      <c r="P1009" s="145"/>
      <c r="Q1009" s="145"/>
      <c r="R1009" s="145"/>
      <c r="S1009" s="145"/>
      <c r="T1009" s="145"/>
      <c r="U1009" s="145"/>
      <c r="V1009" s="145"/>
      <c r="W1009" s="145"/>
      <c r="X1009" s="145"/>
      <c r="Y1009" s="145"/>
      <c r="Z1009" s="145"/>
      <c r="AA1009" s="145"/>
    </row>
    <row r="1010" ht="13.5" customHeight="1">
      <c r="A1010" s="145"/>
      <c r="B1010" s="182"/>
      <c r="C1010" s="145"/>
      <c r="D1010" s="146"/>
      <c r="E1010" s="145"/>
      <c r="F1010" s="145"/>
      <c r="G1010" s="145"/>
      <c r="H1010" s="145"/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5"/>
      <c r="S1010" s="145"/>
      <c r="T1010" s="145"/>
      <c r="U1010" s="145"/>
      <c r="V1010" s="145"/>
      <c r="W1010" s="145"/>
      <c r="X1010" s="145"/>
      <c r="Y1010" s="145"/>
      <c r="Z1010" s="145"/>
      <c r="AA1010" s="145"/>
    </row>
  </sheetData>
  <mergeCells count="34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9:D49"/>
    <mergeCell ref="B50:D50"/>
    <mergeCell ref="B51:D51"/>
    <mergeCell ref="B52:D52"/>
    <mergeCell ref="B42:D42"/>
    <mergeCell ref="B43:D43"/>
    <mergeCell ref="B44:D44"/>
    <mergeCell ref="B45:D45"/>
    <mergeCell ref="B46:D46"/>
    <mergeCell ref="B47:D47"/>
    <mergeCell ref="B48:D48"/>
  </mergeCells>
  <dataValidations>
    <dataValidation type="list" allowBlank="1" showInputMessage="1" showErrorMessage="1" prompt=" - " sqref="F10:U48">
      <formula1>"O"</formula1>
    </dataValidation>
    <dataValidation type="list" allowBlank="1" showInputMessage="1" showErrorMessage="1" prompt=" - " sqref="F49:U49">
      <formula1>"N,A,B"</formula1>
    </dataValidation>
    <dataValidation type="list" allowBlank="1" showInputMessage="1" showErrorMessage="1" prompt=" - " sqref="F50:U5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13"/>
    <col customWidth="1" min="9" max="10" width="4.38"/>
    <col customWidth="1" min="11" max="12" width="5.25"/>
    <col customWidth="1" min="13" max="13" width="4.0"/>
    <col customWidth="1" min="14" max="15" width="4.25"/>
    <col customWidth="1" min="16" max="16" width="3.88"/>
    <col customWidth="1" min="17" max="17" width="4.63"/>
    <col customWidth="1" min="18" max="18" width="4.5"/>
    <col customWidth="1" min="19" max="19" width="4.88"/>
    <col customWidth="1" min="20" max="20" width="5.0"/>
    <col customWidth="1" min="21" max="22" width="9.0"/>
    <col customWidth="1" min="23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141</v>
      </c>
      <c r="B2" s="148"/>
      <c r="C2" s="149" t="str">
        <f>Functions!E17</f>
        <v>COR</v>
      </c>
      <c r="D2" s="150"/>
      <c r="E2" s="151"/>
      <c r="F2" s="152" t="s">
        <v>107</v>
      </c>
      <c r="G2" s="153"/>
      <c r="H2" s="153"/>
      <c r="I2" s="153"/>
      <c r="J2" s="154"/>
      <c r="K2" s="155" t="str">
        <f>Functions!D17</f>
        <v>createOperationRequest</v>
      </c>
      <c r="L2" s="150"/>
      <c r="M2" s="150"/>
      <c r="N2" s="150"/>
      <c r="O2" s="150"/>
      <c r="P2" s="150"/>
      <c r="Q2" s="150"/>
      <c r="R2" s="150"/>
      <c r="S2" s="156"/>
      <c r="T2" s="145"/>
      <c r="U2" s="157"/>
      <c r="V2" s="145"/>
      <c r="W2" s="145"/>
      <c r="X2" s="145"/>
      <c r="Y2" s="145"/>
      <c r="Z2" s="145"/>
    </row>
    <row r="3" ht="13.5" customHeight="1">
      <c r="A3" s="158" t="s">
        <v>142</v>
      </c>
      <c r="B3" s="19"/>
      <c r="C3" s="159" t="s">
        <v>258</v>
      </c>
      <c r="D3" s="160"/>
      <c r="E3" s="161"/>
      <c r="F3" s="162" t="s">
        <v>143</v>
      </c>
      <c r="G3" s="18"/>
      <c r="H3" s="18"/>
      <c r="I3" s="18"/>
      <c r="J3" s="19"/>
      <c r="K3" s="163" t="s">
        <v>258</v>
      </c>
      <c r="L3" s="160"/>
      <c r="M3" s="164"/>
      <c r="N3" s="165"/>
      <c r="O3" s="165"/>
      <c r="P3" s="165"/>
      <c r="Q3" s="165"/>
      <c r="R3" s="165"/>
      <c r="S3" s="166"/>
      <c r="T3" s="145"/>
      <c r="U3" s="145"/>
      <c r="V3" s="145"/>
      <c r="W3" s="145"/>
      <c r="X3" s="145"/>
      <c r="Y3" s="145"/>
      <c r="Z3" s="145"/>
    </row>
    <row r="4" ht="13.5" customHeight="1">
      <c r="A4" s="158" t="s">
        <v>144</v>
      </c>
      <c r="B4" s="19"/>
      <c r="C4" s="261">
        <v>110.0</v>
      </c>
      <c r="D4" s="104"/>
      <c r="E4" s="168"/>
      <c r="F4" s="162" t="s">
        <v>145</v>
      </c>
      <c r="G4" s="18"/>
      <c r="H4" s="18"/>
      <c r="I4" s="18"/>
      <c r="J4" s="19"/>
      <c r="K4" s="169">
        <f>IF(Functions!E6&lt;&gt;"N/A",SUM(C4*Functions!E6/1000,-N7),"N/A")</f>
        <v>-2</v>
      </c>
      <c r="L4" s="18"/>
      <c r="M4" s="18"/>
      <c r="N4" s="18"/>
      <c r="O4" s="18"/>
      <c r="P4" s="18"/>
      <c r="Q4" s="18"/>
      <c r="R4" s="18"/>
      <c r="S4" s="170"/>
      <c r="T4" s="145"/>
      <c r="U4" s="157"/>
      <c r="V4" s="145"/>
      <c r="W4" s="145"/>
      <c r="X4" s="145"/>
      <c r="Y4" s="145"/>
      <c r="Z4" s="145"/>
    </row>
    <row r="5" ht="13.5" customHeight="1">
      <c r="A5" s="158" t="s">
        <v>146</v>
      </c>
      <c r="B5" s="19"/>
      <c r="C5" s="17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70"/>
      <c r="T5" s="145"/>
      <c r="U5" s="145"/>
      <c r="V5" s="145"/>
      <c r="W5" s="145"/>
      <c r="X5" s="145"/>
      <c r="Y5" s="145"/>
      <c r="Z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9"/>
      <c r="K6" s="174" t="s">
        <v>148</v>
      </c>
      <c r="L6" s="18"/>
      <c r="M6" s="104"/>
      <c r="N6" s="173" t="s">
        <v>85</v>
      </c>
      <c r="O6" s="18"/>
      <c r="P6" s="18"/>
      <c r="Q6" s="18"/>
      <c r="R6" s="18"/>
      <c r="S6" s="170"/>
      <c r="T6" s="145"/>
      <c r="U6" s="157"/>
      <c r="V6" s="145"/>
      <c r="W6" s="145"/>
      <c r="X6" s="145"/>
      <c r="Y6" s="145"/>
      <c r="Z6" s="145"/>
    </row>
    <row r="7" ht="13.5" customHeight="1">
      <c r="A7" s="175">
        <f>COUNTIF(F52:HQ52,"P")</f>
        <v>13</v>
      </c>
      <c r="B7" s="176"/>
      <c r="C7" s="177">
        <f>COUNTIF(F52:HQ52,"F")</f>
        <v>0</v>
      </c>
      <c r="D7" s="178"/>
      <c r="E7" s="176"/>
      <c r="F7" s="177">
        <f>SUM(N7,-A7,-C7)</f>
        <v>0</v>
      </c>
      <c r="G7" s="178"/>
      <c r="H7" s="178"/>
      <c r="I7" s="178"/>
      <c r="J7" s="176"/>
      <c r="K7" s="179">
        <f>COUNTIF(E51:HQ51,"N")</f>
        <v>2</v>
      </c>
      <c r="L7" s="179">
        <f>COUNTIF(E51:HQ51,"A")</f>
        <v>5</v>
      </c>
      <c r="M7" s="179">
        <f>COUNTIF(E51:HQ51,"B")</f>
        <v>6</v>
      </c>
      <c r="N7" s="177">
        <f>COUNTA(E9:HT9)</f>
        <v>13</v>
      </c>
      <c r="O7" s="178"/>
      <c r="P7" s="178"/>
      <c r="Q7" s="178"/>
      <c r="R7" s="178"/>
      <c r="S7" s="180"/>
      <c r="T7" s="181"/>
      <c r="U7" s="145"/>
      <c r="V7" s="145"/>
      <c r="W7" s="145"/>
      <c r="X7" s="145"/>
      <c r="Y7" s="145"/>
      <c r="Z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246" t="s">
        <v>151</v>
      </c>
      <c r="I9" s="246" t="s">
        <v>152</v>
      </c>
      <c r="J9" s="187" t="s">
        <v>153</v>
      </c>
      <c r="K9" s="187" t="s">
        <v>154</v>
      </c>
      <c r="L9" s="246" t="s">
        <v>155</v>
      </c>
      <c r="M9" s="246" t="s">
        <v>191</v>
      </c>
      <c r="N9" s="187" t="s">
        <v>217</v>
      </c>
      <c r="O9" s="187" t="s">
        <v>218</v>
      </c>
      <c r="P9" s="246" t="s">
        <v>219</v>
      </c>
      <c r="Q9" s="246" t="s">
        <v>220</v>
      </c>
      <c r="R9" s="187" t="s">
        <v>221</v>
      </c>
      <c r="S9" s="188"/>
      <c r="T9" s="157"/>
      <c r="U9" s="145"/>
      <c r="V9" s="145"/>
      <c r="W9" s="145"/>
      <c r="X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45"/>
      <c r="T10" s="145"/>
      <c r="U10" s="145"/>
      <c r="V10" s="145"/>
      <c r="W10" s="145"/>
      <c r="X10" s="145"/>
    </row>
    <row r="11" ht="13.5" customHeight="1">
      <c r="A11" s="195"/>
      <c r="B11" s="196"/>
      <c r="C11" s="197"/>
      <c r="D11" s="202" t="s">
        <v>321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99" t="s">
        <v>159</v>
      </c>
      <c r="N11" s="199" t="s">
        <v>159</v>
      </c>
      <c r="O11" s="199" t="s">
        <v>159</v>
      </c>
      <c r="P11" s="199" t="s">
        <v>159</v>
      </c>
      <c r="Q11" s="199" t="s">
        <v>159</v>
      </c>
      <c r="R11" s="199" t="s">
        <v>159</v>
      </c>
      <c r="S11" s="145"/>
      <c r="T11" s="157"/>
      <c r="U11" s="145"/>
      <c r="V11" s="145"/>
      <c r="W11" s="145"/>
      <c r="X11" s="145"/>
    </row>
    <row r="12" ht="13.5" customHeight="1">
      <c r="A12" s="195"/>
      <c r="B12" s="200" t="s">
        <v>322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145"/>
      <c r="T12" s="145"/>
      <c r="U12" s="145"/>
      <c r="V12" s="145"/>
      <c r="W12" s="145"/>
      <c r="X12" s="145"/>
    </row>
    <row r="13" ht="13.5" customHeight="1">
      <c r="A13" s="195"/>
      <c r="B13" s="196"/>
      <c r="C13" s="197"/>
      <c r="D13" s="202" t="s">
        <v>281</v>
      </c>
      <c r="E13" s="203"/>
      <c r="F13" s="199" t="s">
        <v>159</v>
      </c>
      <c r="G13" s="199" t="s">
        <v>159</v>
      </c>
      <c r="H13" s="201"/>
      <c r="I13" s="199"/>
      <c r="J13" s="199" t="s">
        <v>159</v>
      </c>
      <c r="K13" s="199" t="s">
        <v>159</v>
      </c>
      <c r="L13" s="199" t="s">
        <v>159</v>
      </c>
      <c r="M13" s="199" t="s">
        <v>159</v>
      </c>
      <c r="N13" s="199" t="s">
        <v>159</v>
      </c>
      <c r="O13" s="199" t="s">
        <v>159</v>
      </c>
      <c r="P13" s="199" t="s">
        <v>159</v>
      </c>
      <c r="Q13" s="199" t="s">
        <v>159</v>
      </c>
      <c r="R13" s="199" t="s">
        <v>159</v>
      </c>
      <c r="S13" s="145"/>
      <c r="T13" s="145"/>
      <c r="U13" s="145"/>
      <c r="V13" s="145"/>
      <c r="W13" s="145"/>
      <c r="X13" s="145"/>
    </row>
    <row r="14" ht="13.5" customHeight="1">
      <c r="A14" s="195"/>
      <c r="B14" s="196"/>
      <c r="C14" s="197"/>
      <c r="D14" s="202" t="s">
        <v>278</v>
      </c>
      <c r="E14" s="203"/>
      <c r="F14" s="199"/>
      <c r="G14" s="199"/>
      <c r="H14" s="199" t="s">
        <v>159</v>
      </c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45"/>
      <c r="T14" s="145"/>
      <c r="U14" s="145"/>
      <c r="V14" s="145"/>
      <c r="W14" s="145"/>
      <c r="X14" s="145"/>
    </row>
    <row r="15" ht="13.5" customHeight="1">
      <c r="A15" s="195"/>
      <c r="B15" s="196"/>
      <c r="C15" s="197"/>
      <c r="D15" s="202" t="s">
        <v>282</v>
      </c>
      <c r="E15" s="203"/>
      <c r="F15" s="199"/>
      <c r="G15" s="199"/>
      <c r="H15" s="201"/>
      <c r="I15" s="199" t="s">
        <v>159</v>
      </c>
      <c r="J15" s="199"/>
      <c r="K15" s="199"/>
      <c r="L15" s="199"/>
      <c r="M15" s="199"/>
      <c r="N15" s="199"/>
      <c r="O15" s="199"/>
      <c r="P15" s="199"/>
      <c r="Q15" s="199"/>
      <c r="R15" s="199"/>
      <c r="S15" s="145"/>
      <c r="T15" s="145"/>
      <c r="U15" s="145"/>
      <c r="V15" s="145"/>
      <c r="W15" s="145"/>
      <c r="X15" s="145"/>
    </row>
    <row r="16" ht="13.5" customHeight="1">
      <c r="A16" s="195"/>
      <c r="B16" s="200" t="s">
        <v>266</v>
      </c>
      <c r="C16" s="197"/>
      <c r="D16" s="202"/>
      <c r="E16" s="204"/>
      <c r="F16" s="201"/>
      <c r="G16" s="199"/>
      <c r="H16" s="199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145"/>
      <c r="T16" s="145"/>
      <c r="U16" s="145"/>
      <c r="V16" s="145"/>
      <c r="W16" s="145"/>
      <c r="X16" s="145"/>
    </row>
    <row r="17" ht="13.5" customHeight="1">
      <c r="A17" s="195"/>
      <c r="B17" s="200"/>
      <c r="C17" s="197"/>
      <c r="D17" s="202" t="s">
        <v>323</v>
      </c>
      <c r="E17" s="204"/>
      <c r="F17" s="199" t="s">
        <v>159</v>
      </c>
      <c r="G17" s="199" t="s">
        <v>159</v>
      </c>
      <c r="H17" s="199" t="s">
        <v>159</v>
      </c>
      <c r="I17" s="199" t="s">
        <v>159</v>
      </c>
      <c r="J17" s="201"/>
      <c r="K17" s="199"/>
      <c r="L17" s="199" t="s">
        <v>159</v>
      </c>
      <c r="M17" s="199" t="s">
        <v>159</v>
      </c>
      <c r="N17" s="199" t="s">
        <v>159</v>
      </c>
      <c r="O17" s="199" t="s">
        <v>159</v>
      </c>
      <c r="P17" s="199" t="s">
        <v>159</v>
      </c>
      <c r="Q17" s="199" t="s">
        <v>159</v>
      </c>
      <c r="R17" s="199" t="s">
        <v>159</v>
      </c>
      <c r="S17" s="145"/>
      <c r="T17" s="145"/>
      <c r="U17" s="145"/>
      <c r="V17" s="145"/>
      <c r="W17" s="145"/>
      <c r="X17" s="145"/>
    </row>
    <row r="18" ht="13.5" customHeight="1">
      <c r="A18" s="195"/>
      <c r="B18" s="200"/>
      <c r="C18" s="197"/>
      <c r="D18" s="202" t="s">
        <v>163</v>
      </c>
      <c r="E18" s="204"/>
      <c r="F18" s="201"/>
      <c r="G18" s="201"/>
      <c r="H18" s="199"/>
      <c r="I18" s="201"/>
      <c r="J18" s="199" t="s">
        <v>159</v>
      </c>
      <c r="K18" s="199"/>
      <c r="L18" s="199"/>
      <c r="M18" s="199"/>
      <c r="N18" s="199"/>
      <c r="O18" s="199"/>
      <c r="P18" s="199"/>
      <c r="Q18" s="199"/>
      <c r="R18" s="199"/>
      <c r="S18" s="145"/>
      <c r="T18" s="145"/>
      <c r="U18" s="145"/>
      <c r="V18" s="145"/>
      <c r="W18" s="145"/>
      <c r="X18" s="145"/>
    </row>
    <row r="19" ht="13.5" customHeight="1">
      <c r="A19" s="195"/>
      <c r="B19" s="200"/>
      <c r="C19" s="197"/>
      <c r="D19" s="202" t="s">
        <v>268</v>
      </c>
      <c r="E19" s="204"/>
      <c r="F19" s="201"/>
      <c r="G19" s="201"/>
      <c r="H19" s="199"/>
      <c r="I19" s="201"/>
      <c r="J19" s="201"/>
      <c r="K19" s="199" t="s">
        <v>159</v>
      </c>
      <c r="L19" s="199"/>
      <c r="M19" s="199"/>
      <c r="N19" s="199"/>
      <c r="O19" s="199"/>
      <c r="P19" s="199"/>
      <c r="Q19" s="199"/>
      <c r="R19" s="199"/>
      <c r="S19" s="145"/>
      <c r="T19" s="145"/>
      <c r="U19" s="145"/>
      <c r="V19" s="145"/>
      <c r="W19" s="145"/>
      <c r="X19" s="145"/>
    </row>
    <row r="20" ht="13.5" customHeight="1">
      <c r="A20" s="195"/>
      <c r="B20" s="200" t="s">
        <v>324</v>
      </c>
      <c r="C20" s="197"/>
      <c r="D20" s="202"/>
      <c r="E20" s="204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45"/>
      <c r="T20" s="145"/>
      <c r="U20" s="145"/>
      <c r="V20" s="145"/>
      <c r="W20" s="145"/>
      <c r="X20" s="145"/>
    </row>
    <row r="21" ht="13.5" customHeight="1">
      <c r="A21" s="195"/>
      <c r="B21" s="196"/>
      <c r="C21" s="197"/>
      <c r="D21" s="202">
        <v>500000.0</v>
      </c>
      <c r="E21" s="204"/>
      <c r="F21" s="199" t="s">
        <v>159</v>
      </c>
      <c r="G21" s="199" t="s">
        <v>159</v>
      </c>
      <c r="H21" s="199" t="s">
        <v>159</v>
      </c>
      <c r="I21" s="199" t="s">
        <v>159</v>
      </c>
      <c r="J21" s="199" t="s">
        <v>159</v>
      </c>
      <c r="K21" s="199" t="s">
        <v>159</v>
      </c>
      <c r="L21" s="199"/>
      <c r="M21" s="199"/>
      <c r="N21" s="199"/>
      <c r="O21" s="199"/>
      <c r="P21" s="199"/>
      <c r="Q21" s="199" t="s">
        <v>159</v>
      </c>
      <c r="R21" s="199" t="s">
        <v>159</v>
      </c>
      <c r="S21" s="145"/>
      <c r="T21" s="145"/>
      <c r="U21" s="145"/>
      <c r="V21" s="145"/>
      <c r="W21" s="145"/>
      <c r="X21" s="145"/>
    </row>
    <row r="22" ht="13.5" customHeight="1">
      <c r="A22" s="195"/>
      <c r="B22" s="196"/>
      <c r="C22" s="197"/>
      <c r="D22" s="202" t="s">
        <v>163</v>
      </c>
      <c r="E22" s="204"/>
      <c r="F22" s="201"/>
      <c r="G22" s="201"/>
      <c r="H22" s="201"/>
      <c r="I22" s="199"/>
      <c r="J22" s="199"/>
      <c r="K22" s="199"/>
      <c r="L22" s="199" t="s">
        <v>159</v>
      </c>
      <c r="M22" s="199"/>
      <c r="N22" s="199"/>
      <c r="O22" s="199"/>
      <c r="P22" s="199"/>
      <c r="Q22" s="199"/>
      <c r="R22" s="199"/>
      <c r="S22" s="145"/>
      <c r="T22" s="145"/>
      <c r="U22" s="145"/>
      <c r="V22" s="145"/>
      <c r="W22" s="145"/>
      <c r="X22" s="145"/>
    </row>
    <row r="23" ht="13.5" customHeight="1">
      <c r="A23" s="195"/>
      <c r="B23" s="196"/>
      <c r="C23" s="197"/>
      <c r="D23" s="202">
        <v>0.0</v>
      </c>
      <c r="E23" s="204"/>
      <c r="F23" s="201"/>
      <c r="G23" s="201"/>
      <c r="H23" s="201"/>
      <c r="I23" s="199"/>
      <c r="J23" s="199"/>
      <c r="K23" s="199"/>
      <c r="L23" s="199"/>
      <c r="M23" s="199" t="s">
        <v>159</v>
      </c>
      <c r="N23" s="199"/>
      <c r="O23" s="199"/>
      <c r="P23" s="199"/>
      <c r="Q23" s="199"/>
      <c r="R23" s="199"/>
      <c r="S23" s="145"/>
      <c r="T23" s="145"/>
      <c r="U23" s="145"/>
      <c r="V23" s="145"/>
      <c r="W23" s="145"/>
      <c r="X23" s="145"/>
    </row>
    <row r="24" ht="13.5" customHeight="1">
      <c r="A24" s="195"/>
      <c r="B24" s="196"/>
      <c r="C24" s="197"/>
      <c r="D24" s="202">
        <v>-100000.0</v>
      </c>
      <c r="E24" s="204"/>
      <c r="F24" s="201"/>
      <c r="G24" s="201"/>
      <c r="H24" s="201"/>
      <c r="I24" s="199"/>
      <c r="J24" s="199"/>
      <c r="K24" s="199"/>
      <c r="L24" s="199"/>
      <c r="M24" s="199"/>
      <c r="N24" s="199" t="s">
        <v>159</v>
      </c>
      <c r="O24" s="199"/>
      <c r="P24" s="199"/>
      <c r="Q24" s="199"/>
      <c r="R24" s="199"/>
      <c r="S24" s="145"/>
      <c r="T24" s="145"/>
      <c r="U24" s="145"/>
      <c r="V24" s="145"/>
      <c r="W24" s="145"/>
      <c r="X24" s="145"/>
    </row>
    <row r="25" ht="13.5" customHeight="1">
      <c r="A25" s="195"/>
      <c r="B25" s="196"/>
      <c r="C25" s="197"/>
      <c r="D25" s="202" t="s">
        <v>276</v>
      </c>
      <c r="E25" s="204"/>
      <c r="F25" s="201"/>
      <c r="G25" s="201"/>
      <c r="H25" s="201"/>
      <c r="I25" s="199"/>
      <c r="J25" s="199"/>
      <c r="K25" s="199"/>
      <c r="L25" s="199"/>
      <c r="M25" s="199"/>
      <c r="N25" s="199"/>
      <c r="O25" s="199" t="s">
        <v>159</v>
      </c>
      <c r="P25" s="199"/>
      <c r="Q25" s="199"/>
      <c r="R25" s="199"/>
      <c r="S25" s="145"/>
      <c r="T25" s="145"/>
      <c r="U25" s="145"/>
      <c r="V25" s="145"/>
      <c r="W25" s="145"/>
      <c r="X25" s="145"/>
    </row>
    <row r="26" ht="13.5" customHeight="1">
      <c r="A26" s="195"/>
      <c r="B26" s="196"/>
      <c r="C26" s="197"/>
      <c r="D26" s="202">
        <v>9.999999999999E12</v>
      </c>
      <c r="E26" s="204"/>
      <c r="F26" s="201"/>
      <c r="G26" s="201"/>
      <c r="H26" s="201"/>
      <c r="I26" s="199"/>
      <c r="J26" s="199"/>
      <c r="K26" s="199"/>
      <c r="L26" s="199"/>
      <c r="M26" s="199"/>
      <c r="N26" s="199"/>
      <c r="O26" s="199"/>
      <c r="P26" s="199" t="s">
        <v>159</v>
      </c>
      <c r="Q26" s="199"/>
      <c r="R26" s="199"/>
      <c r="S26" s="145"/>
      <c r="T26" s="145"/>
      <c r="U26" s="145"/>
      <c r="V26" s="145"/>
      <c r="W26" s="145"/>
      <c r="X26" s="145"/>
    </row>
    <row r="27" ht="13.5" customHeight="1">
      <c r="A27" s="195"/>
      <c r="B27" s="200" t="s">
        <v>325</v>
      </c>
      <c r="C27" s="197"/>
      <c r="D27" s="202"/>
      <c r="E27" s="204"/>
      <c r="F27" s="201"/>
      <c r="G27" s="201"/>
      <c r="H27" s="201"/>
      <c r="I27" s="201"/>
      <c r="J27" s="199"/>
      <c r="K27" s="201"/>
      <c r="L27" s="201"/>
      <c r="M27" s="201"/>
      <c r="N27" s="201"/>
      <c r="O27" s="201"/>
      <c r="P27" s="201"/>
      <c r="Q27" s="201"/>
      <c r="R27" s="201"/>
      <c r="S27" s="145"/>
      <c r="T27" s="145"/>
      <c r="U27" s="145"/>
      <c r="V27" s="145"/>
      <c r="W27" s="145"/>
      <c r="X27" s="145"/>
    </row>
    <row r="28" ht="13.5" customHeight="1">
      <c r="A28" s="195"/>
      <c r="B28" s="196"/>
      <c r="C28" s="197"/>
      <c r="D28" s="202" t="s">
        <v>326</v>
      </c>
      <c r="E28" s="204"/>
      <c r="F28" s="199" t="s">
        <v>159</v>
      </c>
      <c r="G28" s="199"/>
      <c r="H28" s="199" t="s">
        <v>159</v>
      </c>
      <c r="I28" s="199" t="s">
        <v>159</v>
      </c>
      <c r="J28" s="199" t="s">
        <v>159</v>
      </c>
      <c r="K28" s="199" t="s">
        <v>159</v>
      </c>
      <c r="L28" s="199" t="s">
        <v>159</v>
      </c>
      <c r="M28" s="199" t="s">
        <v>159</v>
      </c>
      <c r="N28" s="199" t="s">
        <v>159</v>
      </c>
      <c r="O28" s="199" t="s">
        <v>159</v>
      </c>
      <c r="P28" s="199" t="s">
        <v>159</v>
      </c>
      <c r="Q28" s="201"/>
      <c r="R28" s="199"/>
      <c r="S28" s="145"/>
      <c r="T28" s="145"/>
      <c r="U28" s="145"/>
      <c r="V28" s="145"/>
      <c r="W28" s="145"/>
      <c r="X28" s="145"/>
    </row>
    <row r="29" ht="13.5" customHeight="1">
      <c r="A29" s="195"/>
      <c r="B29" s="196"/>
      <c r="C29" s="197"/>
      <c r="D29" s="202" t="s">
        <v>327</v>
      </c>
      <c r="E29" s="204"/>
      <c r="F29" s="201"/>
      <c r="G29" s="199" t="s">
        <v>159</v>
      </c>
      <c r="H29" s="201"/>
      <c r="I29" s="201"/>
      <c r="J29" s="201"/>
      <c r="K29" s="201"/>
      <c r="L29" s="199"/>
      <c r="M29" s="201"/>
      <c r="N29" s="201"/>
      <c r="O29" s="201"/>
      <c r="P29" s="201"/>
      <c r="Q29" s="201"/>
      <c r="R29" s="201"/>
      <c r="S29" s="145"/>
      <c r="T29" s="145"/>
      <c r="U29" s="145"/>
      <c r="V29" s="145"/>
      <c r="W29" s="145"/>
      <c r="X29" s="145"/>
    </row>
    <row r="30" ht="13.5" customHeight="1">
      <c r="A30" s="195"/>
      <c r="B30" s="196"/>
      <c r="C30" s="197"/>
      <c r="D30" s="202" t="s">
        <v>278</v>
      </c>
      <c r="E30" s="204"/>
      <c r="F30" s="201"/>
      <c r="G30" s="199"/>
      <c r="H30" s="201"/>
      <c r="I30" s="201"/>
      <c r="J30" s="201"/>
      <c r="K30" s="201"/>
      <c r="L30" s="199"/>
      <c r="M30" s="201"/>
      <c r="N30" s="201"/>
      <c r="O30" s="201"/>
      <c r="P30" s="201"/>
      <c r="Q30" s="199" t="s">
        <v>159</v>
      </c>
      <c r="R30" s="201"/>
      <c r="S30" s="145"/>
      <c r="T30" s="145"/>
      <c r="U30" s="145"/>
      <c r="V30" s="145"/>
      <c r="W30" s="145"/>
      <c r="X30" s="145"/>
    </row>
    <row r="31" ht="13.5" customHeight="1">
      <c r="A31" s="195"/>
      <c r="B31" s="196"/>
      <c r="C31" s="197"/>
      <c r="D31" s="202" t="s">
        <v>328</v>
      </c>
      <c r="E31" s="204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 t="s">
        <v>159</v>
      </c>
      <c r="S31" s="145"/>
      <c r="T31" s="145"/>
      <c r="U31" s="145"/>
      <c r="V31" s="145"/>
      <c r="W31" s="145"/>
      <c r="X31" s="145"/>
    </row>
    <row r="32" ht="13.5" customHeight="1">
      <c r="A32" s="207" t="s">
        <v>168</v>
      </c>
      <c r="B32" s="208" t="s">
        <v>169</v>
      </c>
      <c r="C32" s="209"/>
      <c r="D32" s="210"/>
      <c r="E32" s="211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45"/>
      <c r="T32" s="145"/>
      <c r="U32" s="145"/>
      <c r="V32" s="145"/>
      <c r="W32" s="145"/>
      <c r="X32" s="145"/>
    </row>
    <row r="33" ht="13.5" customHeight="1">
      <c r="A33" s="212"/>
      <c r="B33" s="213"/>
      <c r="C33" s="214"/>
      <c r="D33" s="215" t="s">
        <v>170</v>
      </c>
      <c r="E33" s="216"/>
      <c r="F33" s="199" t="s">
        <v>159</v>
      </c>
      <c r="G33" s="199" t="s">
        <v>159</v>
      </c>
      <c r="H33" s="199"/>
      <c r="I33" s="201"/>
      <c r="J33" s="201"/>
      <c r="K33" s="201"/>
      <c r="L33" s="201"/>
      <c r="M33" s="201"/>
      <c r="N33" s="201"/>
      <c r="O33" s="201"/>
      <c r="P33" s="199"/>
      <c r="Q33" s="199"/>
      <c r="R33" s="201"/>
      <c r="S33" s="145"/>
      <c r="T33" s="145"/>
      <c r="U33" s="145"/>
      <c r="V33" s="145"/>
      <c r="W33" s="145"/>
      <c r="X33" s="145"/>
    </row>
    <row r="34" ht="13.5" customHeight="1">
      <c r="A34" s="212"/>
      <c r="B34" s="213"/>
      <c r="C34" s="217"/>
      <c r="D34" s="215" t="s">
        <v>171</v>
      </c>
      <c r="E34" s="218"/>
      <c r="F34" s="201"/>
      <c r="G34" s="199"/>
      <c r="H34" s="199" t="s">
        <v>159</v>
      </c>
      <c r="I34" s="199" t="s">
        <v>159</v>
      </c>
      <c r="J34" s="199" t="s">
        <v>159</v>
      </c>
      <c r="K34" s="199" t="s">
        <v>159</v>
      </c>
      <c r="L34" s="199" t="s">
        <v>159</v>
      </c>
      <c r="M34" s="199" t="s">
        <v>159</v>
      </c>
      <c r="N34" s="199" t="s">
        <v>159</v>
      </c>
      <c r="O34" s="199" t="s">
        <v>159</v>
      </c>
      <c r="P34" s="199" t="s">
        <v>159</v>
      </c>
      <c r="Q34" s="199" t="s">
        <v>159</v>
      </c>
      <c r="R34" s="199" t="s">
        <v>159</v>
      </c>
      <c r="S34" s="145"/>
      <c r="T34" s="145"/>
      <c r="U34" s="145"/>
      <c r="V34" s="145"/>
      <c r="W34" s="145"/>
      <c r="X34" s="145"/>
    </row>
    <row r="35" ht="13.5" customHeight="1">
      <c r="A35" s="212"/>
      <c r="B35" s="213" t="s">
        <v>172</v>
      </c>
      <c r="C35" s="217"/>
      <c r="D35" s="215"/>
      <c r="E35" s="218"/>
      <c r="F35" s="201"/>
      <c r="G35" s="199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145"/>
      <c r="T35" s="145"/>
      <c r="U35" s="145"/>
      <c r="V35" s="145"/>
      <c r="W35" s="145"/>
      <c r="X35" s="145"/>
    </row>
    <row r="36" ht="13.5" customHeight="1">
      <c r="A36" s="212"/>
      <c r="B36" s="213"/>
      <c r="C36" s="217"/>
      <c r="D36" s="219" t="s">
        <v>175</v>
      </c>
      <c r="E36" s="218"/>
      <c r="F36" s="201"/>
      <c r="G36" s="199"/>
      <c r="H36" s="199" t="s">
        <v>159</v>
      </c>
      <c r="I36" s="199"/>
      <c r="J36" s="199" t="s">
        <v>159</v>
      </c>
      <c r="K36" s="199" t="s">
        <v>159</v>
      </c>
      <c r="L36" s="199" t="s">
        <v>159</v>
      </c>
      <c r="M36" s="199"/>
      <c r="N36" s="199"/>
      <c r="O36" s="199"/>
      <c r="P36" s="201"/>
      <c r="Q36" s="199" t="s">
        <v>159</v>
      </c>
      <c r="R36" s="199" t="s">
        <v>159</v>
      </c>
      <c r="S36" s="145"/>
      <c r="T36" s="145"/>
      <c r="U36" s="145"/>
      <c r="V36" s="145"/>
      <c r="W36" s="145"/>
      <c r="X36" s="145"/>
    </row>
    <row r="37" ht="13.5" customHeight="1">
      <c r="A37" s="212"/>
      <c r="B37" s="213"/>
      <c r="C37" s="217"/>
      <c r="D37" s="219" t="s">
        <v>288</v>
      </c>
      <c r="E37" s="218"/>
      <c r="F37" s="201"/>
      <c r="G37" s="199"/>
      <c r="H37" s="199"/>
      <c r="I37" s="199" t="s">
        <v>159</v>
      </c>
      <c r="J37" s="201"/>
      <c r="K37" s="201"/>
      <c r="L37" s="199"/>
      <c r="M37" s="201"/>
      <c r="N37" s="201"/>
      <c r="O37" s="201"/>
      <c r="P37" s="201"/>
      <c r="Q37" s="201"/>
      <c r="R37" s="201"/>
      <c r="S37" s="145"/>
      <c r="T37" s="145"/>
      <c r="U37" s="145"/>
      <c r="V37" s="145"/>
      <c r="W37" s="145"/>
      <c r="X37" s="145"/>
    </row>
    <row r="38" ht="13.5" customHeight="1">
      <c r="A38" s="212"/>
      <c r="B38" s="213"/>
      <c r="C38" s="217"/>
      <c r="D38" s="219" t="s">
        <v>245</v>
      </c>
      <c r="E38" s="218"/>
      <c r="F38" s="201"/>
      <c r="G38" s="199"/>
      <c r="H38" s="199"/>
      <c r="I38" s="201"/>
      <c r="J38" s="201"/>
      <c r="K38" s="201"/>
      <c r="L38" s="201"/>
      <c r="M38" s="199" t="s">
        <v>159</v>
      </c>
      <c r="N38" s="199" t="s">
        <v>159</v>
      </c>
      <c r="O38" s="199" t="s">
        <v>159</v>
      </c>
      <c r="P38" s="199" t="s">
        <v>159</v>
      </c>
      <c r="Q38" s="201"/>
      <c r="R38" s="201"/>
      <c r="S38" s="145"/>
      <c r="T38" s="145"/>
      <c r="U38" s="145"/>
      <c r="V38" s="145"/>
      <c r="W38" s="145"/>
      <c r="X38" s="145"/>
    </row>
    <row r="39" ht="13.5" customHeight="1">
      <c r="A39" s="212"/>
      <c r="B39" s="213" t="s">
        <v>176</v>
      </c>
      <c r="C39" s="217"/>
      <c r="D39" s="215"/>
      <c r="E39" s="218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145"/>
      <c r="T39" s="145"/>
      <c r="U39" s="145"/>
      <c r="V39" s="145"/>
      <c r="W39" s="145"/>
      <c r="X39" s="145"/>
    </row>
    <row r="40" ht="13.5" customHeight="1">
      <c r="A40" s="212"/>
      <c r="B40" s="213"/>
      <c r="C40" s="217"/>
      <c r="D40" s="219" t="s">
        <v>329</v>
      </c>
      <c r="E40" s="218"/>
      <c r="F40" s="199" t="s">
        <v>159</v>
      </c>
      <c r="G40" s="199" t="s">
        <v>159</v>
      </c>
      <c r="H40" s="199"/>
      <c r="I40" s="201"/>
      <c r="J40" s="201"/>
      <c r="K40" s="201"/>
      <c r="L40" s="201"/>
      <c r="M40" s="201"/>
      <c r="N40" s="201"/>
      <c r="O40" s="201"/>
      <c r="P40" s="199"/>
      <c r="Q40" s="199"/>
      <c r="R40" s="201"/>
      <c r="S40" s="145"/>
      <c r="T40" s="145"/>
      <c r="U40" s="145"/>
      <c r="V40" s="145"/>
      <c r="W40" s="145"/>
      <c r="X40" s="145"/>
    </row>
    <row r="41" ht="13.5" customHeight="1">
      <c r="A41" s="247"/>
      <c r="B41" s="248" t="s">
        <v>330</v>
      </c>
      <c r="C41" s="18"/>
      <c r="D41" s="18"/>
      <c r="E41" s="249"/>
      <c r="F41" s="224"/>
      <c r="G41" s="224"/>
      <c r="H41" s="224" t="s">
        <v>159</v>
      </c>
      <c r="I41" s="224"/>
      <c r="J41" s="224"/>
      <c r="K41" s="225"/>
      <c r="L41" s="225"/>
      <c r="M41" s="225"/>
      <c r="N41" s="225"/>
      <c r="O41" s="225"/>
      <c r="P41" s="225"/>
      <c r="Q41" s="225"/>
      <c r="R41" s="225"/>
      <c r="S41" s="145"/>
      <c r="T41" s="145"/>
      <c r="U41" s="145"/>
      <c r="V41" s="145"/>
      <c r="W41" s="145"/>
      <c r="X41" s="145"/>
    </row>
    <row r="42" ht="13.5" customHeight="1">
      <c r="A42" s="250"/>
      <c r="B42" s="248" t="s">
        <v>331</v>
      </c>
      <c r="C42" s="18"/>
      <c r="D42" s="18"/>
      <c r="E42" s="251"/>
      <c r="F42" s="252"/>
      <c r="G42" s="252"/>
      <c r="H42" s="253"/>
      <c r="I42" s="252" t="s">
        <v>159</v>
      </c>
      <c r="J42" s="253"/>
      <c r="K42" s="252"/>
      <c r="L42" s="253"/>
      <c r="M42" s="253"/>
      <c r="N42" s="253"/>
      <c r="O42" s="253"/>
      <c r="P42" s="253"/>
      <c r="Q42" s="253"/>
      <c r="R42" s="253"/>
      <c r="S42" s="145"/>
      <c r="T42" s="145"/>
      <c r="U42" s="145"/>
      <c r="V42" s="145"/>
      <c r="W42" s="145"/>
      <c r="X42" s="145"/>
    </row>
    <row r="43" ht="13.5" customHeight="1">
      <c r="A43" s="250"/>
      <c r="B43" s="248" t="s">
        <v>332</v>
      </c>
      <c r="C43" s="18"/>
      <c r="D43" s="18"/>
      <c r="E43" s="251"/>
      <c r="F43" s="252"/>
      <c r="G43" s="252"/>
      <c r="H43" s="252"/>
      <c r="I43" s="253"/>
      <c r="J43" s="252" t="s">
        <v>159</v>
      </c>
      <c r="K43" s="253"/>
      <c r="L43" s="252"/>
      <c r="M43" s="253"/>
      <c r="N43" s="253"/>
      <c r="O43" s="253"/>
      <c r="P43" s="253"/>
      <c r="Q43" s="253"/>
      <c r="R43" s="253"/>
      <c r="S43" s="145"/>
      <c r="T43" s="145"/>
      <c r="U43" s="145"/>
      <c r="V43" s="145"/>
      <c r="W43" s="145"/>
      <c r="X43" s="145"/>
    </row>
    <row r="44" ht="13.5" customHeight="1">
      <c r="A44" s="250"/>
      <c r="B44" s="248" t="s">
        <v>291</v>
      </c>
      <c r="C44" s="18"/>
      <c r="D44" s="18"/>
      <c r="E44" s="251"/>
      <c r="F44" s="252"/>
      <c r="G44" s="252"/>
      <c r="H44" s="252"/>
      <c r="I44" s="252"/>
      <c r="J44" s="253"/>
      <c r="K44" s="252" t="s">
        <v>159</v>
      </c>
      <c r="L44" s="253"/>
      <c r="M44" s="252"/>
      <c r="N44" s="252"/>
      <c r="O44" s="252"/>
      <c r="P44" s="253"/>
      <c r="Q44" s="253"/>
      <c r="R44" s="253"/>
      <c r="S44" s="145"/>
      <c r="T44" s="145"/>
      <c r="U44" s="145"/>
      <c r="V44" s="145"/>
      <c r="W44" s="145"/>
      <c r="X44" s="145"/>
    </row>
    <row r="45" ht="13.5" customHeight="1">
      <c r="A45" s="250"/>
      <c r="B45" s="248" t="s">
        <v>333</v>
      </c>
      <c r="C45" s="18"/>
      <c r="D45" s="18"/>
      <c r="E45" s="251"/>
      <c r="F45" s="252"/>
      <c r="G45" s="252"/>
      <c r="H45" s="252"/>
      <c r="I45" s="252"/>
      <c r="J45" s="252"/>
      <c r="K45" s="253"/>
      <c r="L45" s="252" t="s">
        <v>159</v>
      </c>
      <c r="M45" s="253"/>
      <c r="N45" s="253"/>
      <c r="O45" s="253"/>
      <c r="P45" s="253"/>
      <c r="Q45" s="253"/>
      <c r="R45" s="252"/>
      <c r="S45" s="145"/>
      <c r="T45" s="145"/>
      <c r="U45" s="145"/>
      <c r="V45" s="145"/>
      <c r="W45" s="145"/>
      <c r="X45" s="145"/>
    </row>
    <row r="46" ht="13.5" customHeight="1">
      <c r="A46" s="250"/>
      <c r="B46" s="248" t="s">
        <v>334</v>
      </c>
      <c r="C46" s="18"/>
      <c r="D46" s="18"/>
      <c r="E46" s="251"/>
      <c r="F46" s="252"/>
      <c r="G46" s="252"/>
      <c r="H46" s="252"/>
      <c r="I46" s="252"/>
      <c r="J46" s="253"/>
      <c r="K46" s="252"/>
      <c r="L46" s="252"/>
      <c r="M46" s="252" t="s">
        <v>159</v>
      </c>
      <c r="N46" s="252" t="s">
        <v>159</v>
      </c>
      <c r="O46" s="252"/>
      <c r="P46" s="252"/>
      <c r="Q46" s="252"/>
      <c r="R46" s="252"/>
      <c r="S46" s="145"/>
      <c r="T46" s="145"/>
      <c r="U46" s="145"/>
      <c r="V46" s="145"/>
      <c r="W46" s="145"/>
      <c r="X46" s="145"/>
    </row>
    <row r="47" ht="13.5" customHeight="1">
      <c r="A47" s="250"/>
      <c r="B47" s="259"/>
      <c r="C47" s="259"/>
      <c r="D47" s="259" t="s">
        <v>335</v>
      </c>
      <c r="E47" s="251"/>
      <c r="F47" s="252"/>
      <c r="G47" s="252"/>
      <c r="H47" s="252"/>
      <c r="I47" s="252"/>
      <c r="J47" s="253"/>
      <c r="K47" s="252"/>
      <c r="L47" s="252"/>
      <c r="M47" s="252"/>
      <c r="N47" s="252"/>
      <c r="O47" s="252" t="s">
        <v>159</v>
      </c>
      <c r="P47" s="252"/>
      <c r="Q47" s="252"/>
      <c r="R47" s="252"/>
      <c r="S47" s="145"/>
      <c r="T47" s="145"/>
      <c r="U47" s="145"/>
      <c r="V47" s="145"/>
      <c r="W47" s="145"/>
      <c r="X47" s="145"/>
    </row>
    <row r="48" ht="13.5" customHeight="1">
      <c r="A48" s="250"/>
      <c r="B48" s="259"/>
      <c r="C48" s="259"/>
      <c r="D48" s="259" t="s">
        <v>336</v>
      </c>
      <c r="E48" s="251"/>
      <c r="F48" s="252"/>
      <c r="G48" s="252"/>
      <c r="H48" s="252"/>
      <c r="I48" s="252"/>
      <c r="J48" s="253"/>
      <c r="K48" s="252"/>
      <c r="L48" s="252"/>
      <c r="M48" s="252"/>
      <c r="N48" s="252"/>
      <c r="O48" s="252"/>
      <c r="P48" s="252" t="s">
        <v>159</v>
      </c>
      <c r="Q48" s="252"/>
      <c r="R48" s="252"/>
      <c r="S48" s="145"/>
      <c r="T48" s="145"/>
      <c r="U48" s="145"/>
      <c r="V48" s="145"/>
      <c r="W48" s="145"/>
      <c r="X48" s="145"/>
    </row>
    <row r="49" ht="13.5" customHeight="1">
      <c r="A49" s="250"/>
      <c r="B49" s="259"/>
      <c r="C49" s="259"/>
      <c r="D49" s="259" t="s">
        <v>337</v>
      </c>
      <c r="E49" s="251"/>
      <c r="F49" s="252"/>
      <c r="G49" s="252"/>
      <c r="H49" s="252"/>
      <c r="I49" s="252"/>
      <c r="J49" s="253"/>
      <c r="K49" s="252"/>
      <c r="L49" s="252"/>
      <c r="M49" s="252"/>
      <c r="N49" s="252"/>
      <c r="O49" s="252"/>
      <c r="P49" s="252"/>
      <c r="Q49" s="252" t="s">
        <v>159</v>
      </c>
      <c r="R49" s="252"/>
      <c r="S49" s="145"/>
      <c r="T49" s="145"/>
      <c r="U49" s="145"/>
      <c r="V49" s="145"/>
      <c r="W49" s="145"/>
      <c r="X49" s="145"/>
    </row>
    <row r="50" ht="18.0" customHeight="1">
      <c r="A50" s="250"/>
      <c r="B50" s="254" t="s">
        <v>338</v>
      </c>
      <c r="C50" s="241"/>
      <c r="D50" s="241"/>
      <c r="E50" s="251"/>
      <c r="F50" s="252"/>
      <c r="G50" s="252"/>
      <c r="H50" s="252"/>
      <c r="I50" s="252"/>
      <c r="J50" s="253"/>
      <c r="K50" s="252"/>
      <c r="L50" s="252"/>
      <c r="M50" s="252"/>
      <c r="N50" s="252"/>
      <c r="O50" s="252"/>
      <c r="P50" s="252"/>
      <c r="Q50" s="252"/>
      <c r="R50" s="252" t="s">
        <v>159</v>
      </c>
      <c r="S50" s="145"/>
      <c r="T50" s="145"/>
      <c r="U50" s="145"/>
      <c r="V50" s="145"/>
      <c r="W50" s="145"/>
      <c r="X50" s="145"/>
    </row>
    <row r="51" ht="13.5" customHeight="1">
      <c r="A51" s="207" t="s">
        <v>184</v>
      </c>
      <c r="B51" s="255" t="s">
        <v>185</v>
      </c>
      <c r="C51" s="256"/>
      <c r="D51" s="257"/>
      <c r="E51" s="229"/>
      <c r="F51" s="230" t="s">
        <v>83</v>
      </c>
      <c r="G51" s="230" t="s">
        <v>83</v>
      </c>
      <c r="H51" s="230" t="s">
        <v>84</v>
      </c>
      <c r="I51" s="230" t="s">
        <v>65</v>
      </c>
      <c r="J51" s="230" t="s">
        <v>84</v>
      </c>
      <c r="K51" s="230" t="s">
        <v>84</v>
      </c>
      <c r="L51" s="230" t="s">
        <v>84</v>
      </c>
      <c r="M51" s="230" t="s">
        <v>84</v>
      </c>
      <c r="N51" s="230" t="s">
        <v>65</v>
      </c>
      <c r="O51" s="230" t="s">
        <v>65</v>
      </c>
      <c r="P51" s="230" t="s">
        <v>65</v>
      </c>
      <c r="Q51" s="230" t="s">
        <v>84</v>
      </c>
      <c r="R51" s="230" t="s">
        <v>65</v>
      </c>
      <c r="S51" s="145"/>
      <c r="T51" s="145"/>
      <c r="U51" s="145"/>
      <c r="V51" s="145"/>
      <c r="W51" s="145"/>
      <c r="X51" s="145"/>
    </row>
    <row r="52" ht="13.5" customHeight="1">
      <c r="A52" s="212"/>
      <c r="B52" s="232" t="s">
        <v>186</v>
      </c>
      <c r="C52" s="18"/>
      <c r="D52" s="19"/>
      <c r="E52" s="233"/>
      <c r="F52" s="234" t="s">
        <v>187</v>
      </c>
      <c r="G52" s="234" t="s">
        <v>187</v>
      </c>
      <c r="H52" s="234" t="s">
        <v>187</v>
      </c>
      <c r="I52" s="234" t="s">
        <v>187</v>
      </c>
      <c r="J52" s="235" t="s">
        <v>187</v>
      </c>
      <c r="K52" s="235" t="s">
        <v>187</v>
      </c>
      <c r="L52" s="235" t="s">
        <v>187</v>
      </c>
      <c r="M52" s="235" t="s">
        <v>187</v>
      </c>
      <c r="N52" s="235" t="s">
        <v>187</v>
      </c>
      <c r="O52" s="235" t="s">
        <v>187</v>
      </c>
      <c r="P52" s="235" t="s">
        <v>187</v>
      </c>
      <c r="Q52" s="235" t="s">
        <v>187</v>
      </c>
      <c r="R52" s="235" t="s">
        <v>187</v>
      </c>
      <c r="S52" s="145"/>
      <c r="T52" s="145"/>
      <c r="U52" s="145"/>
      <c r="V52" s="145"/>
      <c r="W52" s="145"/>
      <c r="X52" s="145"/>
    </row>
    <row r="53" ht="13.5" customHeight="1">
      <c r="A53" s="212"/>
      <c r="B53" s="236" t="s">
        <v>188</v>
      </c>
      <c r="C53" s="18"/>
      <c r="D53" s="19"/>
      <c r="E53" s="237"/>
      <c r="F53" s="238">
        <v>45991.0</v>
      </c>
      <c r="G53" s="238">
        <v>45991.0</v>
      </c>
      <c r="H53" s="238">
        <v>45991.0</v>
      </c>
      <c r="I53" s="238">
        <v>45991.0</v>
      </c>
      <c r="J53" s="238">
        <v>45991.0</v>
      </c>
      <c r="K53" s="238">
        <v>45991.0</v>
      </c>
      <c r="L53" s="238">
        <v>45991.0</v>
      </c>
      <c r="M53" s="238">
        <v>45991.0</v>
      </c>
      <c r="N53" s="238">
        <v>45991.0</v>
      </c>
      <c r="O53" s="238">
        <v>45991.0</v>
      </c>
      <c r="P53" s="238">
        <v>45991.0</v>
      </c>
      <c r="Q53" s="238">
        <v>45991.0</v>
      </c>
      <c r="R53" s="238">
        <v>45991.0</v>
      </c>
      <c r="S53" s="145"/>
      <c r="T53" s="145"/>
      <c r="U53" s="145"/>
      <c r="V53" s="145"/>
      <c r="W53" s="145"/>
      <c r="X53" s="145"/>
    </row>
    <row r="54" ht="79.5" customHeight="1">
      <c r="A54" s="239"/>
      <c r="B54" s="240" t="s">
        <v>189</v>
      </c>
      <c r="C54" s="241"/>
      <c r="D54" s="242"/>
      <c r="E54" s="243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145"/>
      <c r="T54" s="145"/>
      <c r="U54" s="145"/>
      <c r="V54" s="145"/>
    </row>
    <row r="55" ht="12.0" customHeight="1">
      <c r="A55" s="245"/>
      <c r="B55" s="182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82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82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82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82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82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82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82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82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82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82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82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82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82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82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82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82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82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</row>
    <row r="1002" ht="13.5" customHeight="1">
      <c r="A1002" s="145"/>
      <c r="B1002" s="182"/>
      <c r="C1002" s="145"/>
      <c r="D1002" s="146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</row>
    <row r="1003" ht="13.5" customHeight="1">
      <c r="A1003" s="145"/>
      <c r="B1003" s="182"/>
      <c r="C1003" s="145"/>
      <c r="D1003" s="146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</row>
    <row r="1004" ht="13.5" customHeight="1">
      <c r="A1004" s="145"/>
      <c r="B1004" s="182"/>
      <c r="C1004" s="145"/>
      <c r="D1004" s="146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</row>
    <row r="1005" ht="13.5" customHeight="1">
      <c r="A1005" s="145"/>
      <c r="B1005" s="182"/>
      <c r="C1005" s="145"/>
      <c r="D1005" s="146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</row>
    <row r="1006" ht="13.5" customHeight="1">
      <c r="A1006" s="145"/>
      <c r="B1006" s="182"/>
      <c r="C1006" s="145"/>
      <c r="D1006" s="146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</row>
    <row r="1007" ht="13.5" customHeight="1">
      <c r="A1007" s="145"/>
      <c r="B1007" s="182"/>
      <c r="C1007" s="145"/>
      <c r="D1007" s="146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</row>
    <row r="1008" ht="13.5" customHeight="1">
      <c r="A1008" s="145"/>
      <c r="B1008" s="182"/>
      <c r="C1008" s="145"/>
      <c r="D1008" s="146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  <c r="W1008" s="145"/>
      <c r="X1008" s="145"/>
      <c r="Y1008" s="145"/>
      <c r="Z1008" s="145"/>
    </row>
    <row r="1009" ht="13.5" customHeight="1">
      <c r="A1009" s="145"/>
      <c r="B1009" s="182"/>
      <c r="C1009" s="145"/>
      <c r="D1009" s="146"/>
      <c r="E1009" s="145"/>
      <c r="F1009" s="145"/>
      <c r="G1009" s="145"/>
      <c r="H1009" s="145"/>
      <c r="I1009" s="145"/>
      <c r="J1009" s="145"/>
      <c r="K1009" s="145"/>
      <c r="L1009" s="145"/>
      <c r="M1009" s="145"/>
      <c r="N1009" s="145"/>
      <c r="O1009" s="145"/>
      <c r="P1009" s="145"/>
      <c r="Q1009" s="145"/>
      <c r="R1009" s="145"/>
      <c r="S1009" s="145"/>
      <c r="T1009" s="145"/>
      <c r="U1009" s="145"/>
      <c r="V1009" s="145"/>
      <c r="W1009" s="145"/>
      <c r="X1009" s="145"/>
      <c r="Y1009" s="145"/>
      <c r="Z1009" s="145"/>
    </row>
    <row r="1010" ht="13.5" customHeight="1">
      <c r="A1010" s="145"/>
      <c r="B1010" s="182"/>
      <c r="C1010" s="145"/>
      <c r="D1010" s="146"/>
      <c r="E1010" s="145"/>
      <c r="F1010" s="145"/>
      <c r="G1010" s="145"/>
      <c r="H1010" s="145"/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5"/>
      <c r="S1010" s="145"/>
      <c r="T1010" s="145"/>
      <c r="U1010" s="145"/>
      <c r="V1010" s="145"/>
      <c r="W1010" s="145"/>
      <c r="X1010" s="145"/>
      <c r="Y1010" s="145"/>
      <c r="Z1010" s="145"/>
    </row>
    <row r="1011" ht="13.5" customHeight="1">
      <c r="A1011" s="145"/>
      <c r="B1011" s="182"/>
      <c r="C1011" s="145"/>
      <c r="D1011" s="146"/>
      <c r="E1011" s="145"/>
      <c r="F1011" s="145"/>
      <c r="G1011" s="145"/>
      <c r="H1011" s="145"/>
      <c r="I1011" s="145"/>
      <c r="J1011" s="145"/>
      <c r="K1011" s="145"/>
      <c r="L1011" s="145"/>
      <c r="M1011" s="145"/>
      <c r="N1011" s="145"/>
      <c r="O1011" s="145"/>
      <c r="P1011" s="145"/>
      <c r="Q1011" s="145"/>
      <c r="R1011" s="145"/>
      <c r="S1011" s="145"/>
      <c r="T1011" s="145"/>
      <c r="U1011" s="145"/>
      <c r="V1011" s="145"/>
      <c r="W1011" s="145"/>
      <c r="X1011" s="145"/>
      <c r="Y1011" s="145"/>
      <c r="Z1011" s="145"/>
    </row>
    <row r="1012" ht="13.5" customHeight="1">
      <c r="A1012" s="145"/>
      <c r="B1012" s="182"/>
      <c r="C1012" s="145"/>
      <c r="D1012" s="146"/>
      <c r="E1012" s="145"/>
      <c r="F1012" s="145"/>
      <c r="G1012" s="145"/>
      <c r="H1012" s="145"/>
      <c r="I1012" s="145"/>
      <c r="J1012" s="145"/>
      <c r="K1012" s="145"/>
      <c r="L1012" s="145"/>
      <c r="M1012" s="145"/>
      <c r="N1012" s="145"/>
      <c r="O1012" s="145"/>
      <c r="P1012" s="145"/>
      <c r="Q1012" s="145"/>
      <c r="R1012" s="145"/>
      <c r="S1012" s="145"/>
      <c r="T1012" s="145"/>
      <c r="U1012" s="145"/>
      <c r="V1012" s="145"/>
      <c r="W1012" s="145"/>
      <c r="X1012" s="145"/>
      <c r="Y1012" s="145"/>
      <c r="Z1012" s="145"/>
    </row>
  </sheetData>
  <mergeCells count="34">
    <mergeCell ref="A2:B2"/>
    <mergeCell ref="C2:E2"/>
    <mergeCell ref="F2:J2"/>
    <mergeCell ref="K2:S2"/>
    <mergeCell ref="C3:E3"/>
    <mergeCell ref="F3:J3"/>
    <mergeCell ref="K3:M3"/>
    <mergeCell ref="A3:B3"/>
    <mergeCell ref="A4:B4"/>
    <mergeCell ref="C4:D4"/>
    <mergeCell ref="F4:J4"/>
    <mergeCell ref="K4:S4"/>
    <mergeCell ref="A5:B5"/>
    <mergeCell ref="C5:S5"/>
    <mergeCell ref="N6:S6"/>
    <mergeCell ref="N7:S7"/>
    <mergeCell ref="A6:B6"/>
    <mergeCell ref="C6:E6"/>
    <mergeCell ref="F6:J6"/>
    <mergeCell ref="K6:M6"/>
    <mergeCell ref="A7:B7"/>
    <mergeCell ref="C7:E7"/>
    <mergeCell ref="F7:J7"/>
    <mergeCell ref="B51:D51"/>
    <mergeCell ref="B52:D52"/>
    <mergeCell ref="B53:D53"/>
    <mergeCell ref="B54:D54"/>
    <mergeCell ref="B41:D41"/>
    <mergeCell ref="B42:D42"/>
    <mergeCell ref="B43:D43"/>
    <mergeCell ref="B44:D44"/>
    <mergeCell ref="B45:D45"/>
    <mergeCell ref="B46:D46"/>
    <mergeCell ref="B50:D50"/>
  </mergeCells>
  <dataValidations>
    <dataValidation type="list" allowBlank="1" showInputMessage="1" showErrorMessage="1" prompt=" - " sqref="F10:R50">
      <formula1>"O"</formula1>
    </dataValidation>
    <dataValidation type="list" allowBlank="1" showInputMessage="1" showErrorMessage="1" prompt=" - " sqref="F51:R51">
      <formula1>"N,A,B"</formula1>
    </dataValidation>
    <dataValidation type="list" allowBlank="1" showInputMessage="1" showErrorMessage="1" prompt=" - " sqref="F52:R52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3" width="5.25"/>
    <col customWidth="1" min="14" max="14" width="4.0"/>
    <col customWidth="1" min="15" max="16" width="4.25"/>
    <col customWidth="1" min="17" max="17" width="3.88"/>
    <col customWidth="1" min="18" max="18" width="4.63"/>
    <col customWidth="1" min="19" max="19" width="4.5"/>
    <col customWidth="1" min="20" max="20" width="4.88"/>
    <col customWidth="1" min="21" max="21" width="5.0"/>
    <col customWidth="1" min="22" max="23" width="9.0"/>
    <col customWidth="1" min="24" max="27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</row>
    <row r="2" ht="13.5" customHeight="1">
      <c r="A2" s="147" t="s">
        <v>141</v>
      </c>
      <c r="B2" s="148"/>
      <c r="C2" s="149" t="str">
        <f>Functions!E18</f>
        <v>CIR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Functions!D18</f>
        <v>createIngredientRequest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  <c r="AA2" s="145"/>
    </row>
    <row r="3" ht="13.5" customHeight="1">
      <c r="A3" s="158" t="s">
        <v>142</v>
      </c>
      <c r="B3" s="19"/>
      <c r="C3" s="159" t="s">
        <v>258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258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  <c r="AA3" s="145"/>
    </row>
    <row r="4" ht="13.5" customHeight="1">
      <c r="A4" s="158" t="s">
        <v>144</v>
      </c>
      <c r="B4" s="19"/>
      <c r="C4" s="167">
        <v>100.0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0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  <c r="AA4" s="145"/>
    </row>
    <row r="5" ht="13.5" customHeight="1">
      <c r="A5" s="158" t="s">
        <v>146</v>
      </c>
      <c r="B5" s="19"/>
      <c r="C5" s="17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  <c r="AA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  <c r="AA6" s="145"/>
    </row>
    <row r="7" ht="13.5" customHeight="1">
      <c r="A7" s="175">
        <f>COUNTIF(F43:HR43,"P")</f>
        <v>10</v>
      </c>
      <c r="B7" s="176"/>
      <c r="C7" s="177">
        <f>COUNTIF(F43:HR43,"F")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COUNTIF(E42:HR42,"N")</f>
        <v>1</v>
      </c>
      <c r="M7" s="179">
        <f>COUNTIF(E42:HR42,"A")</f>
        <v>3</v>
      </c>
      <c r="N7" s="179">
        <f>COUNTIF(E42:HR42,"B")</f>
        <v>6</v>
      </c>
      <c r="O7" s="177">
        <f>COUNTA(E9:HU9)</f>
        <v>10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  <c r="AA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246" t="s">
        <v>155</v>
      </c>
      <c r="M9" s="246" t="s">
        <v>191</v>
      </c>
      <c r="N9" s="246" t="s">
        <v>217</v>
      </c>
      <c r="O9" s="246" t="s">
        <v>218</v>
      </c>
      <c r="P9" s="188"/>
      <c r="Q9" s="157"/>
      <c r="R9" s="145"/>
      <c r="S9" s="145"/>
      <c r="T9" s="145"/>
      <c r="U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45"/>
      <c r="Q10" s="145"/>
      <c r="R10" s="145"/>
      <c r="S10" s="145"/>
      <c r="T10" s="145"/>
      <c r="U10" s="145"/>
    </row>
    <row r="11" ht="13.5" customHeight="1">
      <c r="A11" s="195"/>
      <c r="B11" s="196"/>
      <c r="C11" s="197"/>
      <c r="D11" s="202" t="s">
        <v>339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99" t="s">
        <v>159</v>
      </c>
      <c r="N11" s="199" t="s">
        <v>159</v>
      </c>
      <c r="O11" s="199" t="s">
        <v>159</v>
      </c>
      <c r="P11" s="145"/>
      <c r="Q11" s="157"/>
      <c r="R11" s="145"/>
      <c r="S11" s="145"/>
      <c r="T11" s="145"/>
      <c r="U11" s="145"/>
    </row>
    <row r="12" ht="13.5" customHeight="1">
      <c r="A12" s="195"/>
      <c r="B12" s="200" t="s">
        <v>322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145"/>
      <c r="Q12" s="145"/>
      <c r="R12" s="145"/>
      <c r="S12" s="145"/>
      <c r="T12" s="145"/>
      <c r="U12" s="145"/>
    </row>
    <row r="13" ht="13.5" customHeight="1">
      <c r="A13" s="195"/>
      <c r="B13" s="196"/>
      <c r="C13" s="197"/>
      <c r="D13" s="202" t="s">
        <v>281</v>
      </c>
      <c r="E13" s="203"/>
      <c r="F13" s="199" t="s">
        <v>159</v>
      </c>
      <c r="G13" s="199"/>
      <c r="H13" s="199"/>
      <c r="I13" s="201"/>
      <c r="J13" s="199" t="s">
        <v>159</v>
      </c>
      <c r="K13" s="199" t="s">
        <v>159</v>
      </c>
      <c r="L13" s="199" t="s">
        <v>159</v>
      </c>
      <c r="M13" s="199" t="s">
        <v>159</v>
      </c>
      <c r="N13" s="199" t="s">
        <v>159</v>
      </c>
      <c r="O13" s="199" t="s">
        <v>159</v>
      </c>
      <c r="P13" s="145"/>
      <c r="Q13" s="145"/>
      <c r="R13" s="145"/>
      <c r="S13" s="145"/>
      <c r="T13" s="145"/>
      <c r="U13" s="145"/>
    </row>
    <row r="14" ht="13.5" customHeight="1">
      <c r="A14" s="195"/>
      <c r="B14" s="196"/>
      <c r="C14" s="197"/>
      <c r="D14" s="202" t="s">
        <v>163</v>
      </c>
      <c r="E14" s="203"/>
      <c r="F14" s="199"/>
      <c r="G14" s="199" t="s">
        <v>159</v>
      </c>
      <c r="H14" s="199"/>
      <c r="I14" s="201"/>
      <c r="J14" s="199"/>
      <c r="K14" s="199"/>
      <c r="L14" s="199"/>
      <c r="M14" s="199"/>
      <c r="N14" s="199"/>
      <c r="O14" s="199"/>
      <c r="P14" s="145"/>
      <c r="Q14" s="145"/>
      <c r="R14" s="145"/>
      <c r="S14" s="145"/>
      <c r="T14" s="145"/>
      <c r="U14" s="145"/>
    </row>
    <row r="15" ht="13.5" customHeight="1">
      <c r="A15" s="195"/>
      <c r="B15" s="196"/>
      <c r="C15" s="197"/>
      <c r="D15" s="202" t="s">
        <v>278</v>
      </c>
      <c r="E15" s="203"/>
      <c r="F15" s="199"/>
      <c r="G15" s="199"/>
      <c r="H15" s="199" t="s">
        <v>159</v>
      </c>
      <c r="I15" s="199"/>
      <c r="J15" s="199"/>
      <c r="K15" s="199"/>
      <c r="L15" s="199"/>
      <c r="M15" s="199"/>
      <c r="N15" s="199"/>
      <c r="O15" s="199"/>
      <c r="P15" s="145"/>
      <c r="Q15" s="145"/>
      <c r="R15" s="145"/>
      <c r="S15" s="145"/>
      <c r="T15" s="145"/>
      <c r="U15" s="145"/>
    </row>
    <row r="16" ht="13.5" customHeight="1">
      <c r="A16" s="195"/>
      <c r="B16" s="196"/>
      <c r="C16" s="197"/>
      <c r="D16" s="202" t="s">
        <v>282</v>
      </c>
      <c r="E16" s="203"/>
      <c r="F16" s="199"/>
      <c r="G16" s="199"/>
      <c r="H16" s="199"/>
      <c r="I16" s="199" t="s">
        <v>159</v>
      </c>
      <c r="J16" s="199"/>
      <c r="K16" s="199"/>
      <c r="L16" s="199"/>
      <c r="M16" s="199"/>
      <c r="N16" s="199"/>
      <c r="O16" s="199"/>
      <c r="P16" s="145"/>
      <c r="Q16" s="145"/>
      <c r="R16" s="145"/>
      <c r="S16" s="145"/>
      <c r="T16" s="145"/>
      <c r="U16" s="145"/>
    </row>
    <row r="17" ht="13.5" customHeight="1">
      <c r="A17" s="195"/>
      <c r="B17" s="200" t="s">
        <v>324</v>
      </c>
      <c r="C17" s="197"/>
      <c r="D17" s="202"/>
      <c r="E17" s="204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45"/>
      <c r="Q17" s="145"/>
      <c r="R17" s="145"/>
      <c r="S17" s="145"/>
      <c r="T17" s="145"/>
      <c r="U17" s="145"/>
    </row>
    <row r="18" ht="13.5" customHeight="1">
      <c r="A18" s="195"/>
      <c r="B18" s="196"/>
      <c r="C18" s="197"/>
      <c r="D18" s="202">
        <v>500000.0</v>
      </c>
      <c r="E18" s="204"/>
      <c r="F18" s="199" t="s">
        <v>159</v>
      </c>
      <c r="G18" s="199" t="s">
        <v>159</v>
      </c>
      <c r="H18" s="199" t="s">
        <v>159</v>
      </c>
      <c r="I18" s="199" t="s">
        <v>159</v>
      </c>
      <c r="J18" s="199"/>
      <c r="K18" s="199"/>
      <c r="L18" s="199"/>
      <c r="M18" s="199"/>
      <c r="N18" s="199" t="s">
        <v>159</v>
      </c>
      <c r="O18" s="199" t="s">
        <v>159</v>
      </c>
      <c r="P18" s="145"/>
      <c r="Q18" s="145"/>
      <c r="R18" s="145"/>
      <c r="S18" s="145"/>
      <c r="T18" s="145"/>
      <c r="U18" s="145"/>
    </row>
    <row r="19" ht="13.5" customHeight="1">
      <c r="A19" s="195"/>
      <c r="B19" s="196"/>
      <c r="C19" s="197"/>
      <c r="D19" s="202" t="s">
        <v>163</v>
      </c>
      <c r="E19" s="204"/>
      <c r="F19" s="201"/>
      <c r="G19" s="201"/>
      <c r="H19" s="201"/>
      <c r="I19" s="201"/>
      <c r="J19" s="199" t="s">
        <v>159</v>
      </c>
      <c r="K19" s="199"/>
      <c r="L19" s="199"/>
      <c r="M19" s="199"/>
      <c r="N19" s="199"/>
      <c r="O19" s="199"/>
      <c r="P19" s="145"/>
      <c r="Q19" s="145"/>
      <c r="R19" s="145"/>
      <c r="S19" s="145"/>
      <c r="T19" s="145"/>
      <c r="U19" s="145"/>
    </row>
    <row r="20" ht="13.5" customHeight="1">
      <c r="A20" s="195"/>
      <c r="B20" s="196"/>
      <c r="C20" s="197"/>
      <c r="D20" s="202">
        <v>0.0</v>
      </c>
      <c r="E20" s="204"/>
      <c r="F20" s="201"/>
      <c r="G20" s="201"/>
      <c r="H20" s="201"/>
      <c r="I20" s="201"/>
      <c r="J20" s="199"/>
      <c r="K20" s="199" t="s">
        <v>159</v>
      </c>
      <c r="L20" s="199"/>
      <c r="M20" s="199"/>
      <c r="N20" s="199"/>
      <c r="O20" s="199"/>
      <c r="P20" s="145"/>
      <c r="Q20" s="145"/>
      <c r="R20" s="145"/>
      <c r="S20" s="145"/>
      <c r="T20" s="145"/>
      <c r="U20" s="145"/>
    </row>
    <row r="21" ht="13.5" customHeight="1">
      <c r="A21" s="195"/>
      <c r="B21" s="196"/>
      <c r="C21" s="197"/>
      <c r="D21" s="202">
        <v>-100000.0</v>
      </c>
      <c r="E21" s="204"/>
      <c r="F21" s="201"/>
      <c r="G21" s="201"/>
      <c r="H21" s="201"/>
      <c r="I21" s="201"/>
      <c r="J21" s="199"/>
      <c r="K21" s="199"/>
      <c r="L21" s="199" t="s">
        <v>159</v>
      </c>
      <c r="M21" s="199"/>
      <c r="N21" s="199"/>
      <c r="O21" s="199"/>
      <c r="P21" s="145"/>
      <c r="Q21" s="145"/>
      <c r="R21" s="145"/>
      <c r="S21" s="145"/>
      <c r="T21" s="145"/>
      <c r="U21" s="145"/>
    </row>
    <row r="22" ht="13.5" customHeight="1">
      <c r="A22" s="195"/>
      <c r="B22" s="196"/>
      <c r="C22" s="197"/>
      <c r="D22" s="202" t="s">
        <v>276</v>
      </c>
      <c r="E22" s="204"/>
      <c r="F22" s="201"/>
      <c r="G22" s="201"/>
      <c r="H22" s="201"/>
      <c r="I22" s="201"/>
      <c r="J22" s="199"/>
      <c r="K22" s="199"/>
      <c r="L22" s="199"/>
      <c r="M22" s="199" t="s">
        <v>159</v>
      </c>
      <c r="N22" s="199"/>
      <c r="O22" s="199"/>
      <c r="P22" s="145"/>
      <c r="Q22" s="145"/>
      <c r="R22" s="145"/>
      <c r="S22" s="145"/>
      <c r="T22" s="145"/>
      <c r="U22" s="145"/>
    </row>
    <row r="23" ht="13.5" customHeight="1">
      <c r="A23" s="195"/>
      <c r="B23" s="200" t="s">
        <v>340</v>
      </c>
      <c r="C23" s="197"/>
      <c r="D23" s="202"/>
      <c r="E23" s="204"/>
      <c r="F23" s="201"/>
      <c r="G23" s="201"/>
      <c r="H23" s="201"/>
      <c r="I23" s="201"/>
      <c r="J23" s="201"/>
      <c r="K23" s="199"/>
      <c r="L23" s="201"/>
      <c r="M23" s="201"/>
      <c r="N23" s="201"/>
      <c r="O23" s="201"/>
      <c r="P23" s="145"/>
      <c r="Q23" s="145"/>
      <c r="R23" s="145"/>
      <c r="S23" s="145"/>
      <c r="T23" s="145"/>
      <c r="U23" s="145"/>
    </row>
    <row r="24" ht="13.5" customHeight="1">
      <c r="A24" s="195"/>
      <c r="B24" s="196"/>
      <c r="C24" s="197"/>
      <c r="D24" s="202" t="s">
        <v>341</v>
      </c>
      <c r="E24" s="204"/>
      <c r="F24" s="199" t="s">
        <v>159</v>
      </c>
      <c r="G24" s="199" t="s">
        <v>159</v>
      </c>
      <c r="H24" s="199" t="s">
        <v>159</v>
      </c>
      <c r="I24" s="199" t="s">
        <v>159</v>
      </c>
      <c r="J24" s="199" t="s">
        <v>159</v>
      </c>
      <c r="K24" s="199" t="s">
        <v>159</v>
      </c>
      <c r="L24" s="199" t="s">
        <v>159</v>
      </c>
      <c r="M24" s="199" t="s">
        <v>159</v>
      </c>
      <c r="N24" s="199"/>
      <c r="O24" s="199"/>
      <c r="P24" s="145"/>
      <c r="Q24" s="145"/>
      <c r="R24" s="145"/>
      <c r="S24" s="145"/>
      <c r="T24" s="145"/>
      <c r="U24" s="145"/>
    </row>
    <row r="25" ht="13.5" customHeight="1">
      <c r="A25" s="195"/>
      <c r="B25" s="196"/>
      <c r="C25" s="197"/>
      <c r="D25" s="202" t="s">
        <v>286</v>
      </c>
      <c r="E25" s="204"/>
      <c r="F25" s="201"/>
      <c r="G25" s="199"/>
      <c r="H25" s="199"/>
      <c r="I25" s="201"/>
      <c r="J25" s="201"/>
      <c r="K25" s="201"/>
      <c r="L25" s="201"/>
      <c r="M25" s="199"/>
      <c r="N25" s="199" t="s">
        <v>159</v>
      </c>
      <c r="O25" s="201"/>
      <c r="P25" s="145"/>
      <c r="Q25" s="145"/>
      <c r="R25" s="145"/>
      <c r="S25" s="145"/>
      <c r="T25" s="145"/>
      <c r="U25" s="145"/>
    </row>
    <row r="26" ht="13.5" customHeight="1">
      <c r="A26" s="195"/>
      <c r="B26" s="196"/>
      <c r="C26" s="197"/>
      <c r="D26" s="202" t="s">
        <v>278</v>
      </c>
      <c r="E26" s="204"/>
      <c r="F26" s="201"/>
      <c r="G26" s="199"/>
      <c r="H26" s="199"/>
      <c r="I26" s="201"/>
      <c r="J26" s="201"/>
      <c r="K26" s="201"/>
      <c r="L26" s="201"/>
      <c r="M26" s="199"/>
      <c r="N26" s="201"/>
      <c r="O26" s="199" t="s">
        <v>159</v>
      </c>
      <c r="P26" s="145"/>
      <c r="Q26" s="145"/>
      <c r="R26" s="145"/>
      <c r="S26" s="145"/>
      <c r="T26" s="145"/>
      <c r="U26" s="145"/>
    </row>
    <row r="27" ht="13.5" customHeight="1">
      <c r="A27" s="207" t="s">
        <v>168</v>
      </c>
      <c r="B27" s="208" t="s">
        <v>169</v>
      </c>
      <c r="C27" s="209"/>
      <c r="D27" s="210"/>
      <c r="E27" s="211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45"/>
      <c r="Q27" s="145"/>
      <c r="R27" s="145"/>
      <c r="S27" s="145"/>
      <c r="T27" s="145"/>
      <c r="U27" s="145"/>
    </row>
    <row r="28" ht="13.5" customHeight="1">
      <c r="A28" s="212"/>
      <c r="B28" s="213"/>
      <c r="C28" s="214"/>
      <c r="D28" s="215" t="s">
        <v>170</v>
      </c>
      <c r="E28" s="216"/>
      <c r="F28" s="199" t="s">
        <v>159</v>
      </c>
      <c r="G28" s="199"/>
      <c r="H28" s="199"/>
      <c r="I28" s="199"/>
      <c r="J28" s="201"/>
      <c r="K28" s="201"/>
      <c r="L28" s="201"/>
      <c r="M28" s="201"/>
      <c r="N28" s="201"/>
      <c r="O28" s="201"/>
      <c r="P28" s="145"/>
      <c r="Q28" s="145"/>
      <c r="R28" s="145"/>
      <c r="S28" s="145"/>
      <c r="T28" s="145"/>
      <c r="U28" s="145"/>
    </row>
    <row r="29" ht="13.5" customHeight="1">
      <c r="A29" s="212"/>
      <c r="B29" s="213"/>
      <c r="C29" s="217"/>
      <c r="D29" s="215" t="s">
        <v>171</v>
      </c>
      <c r="E29" s="218"/>
      <c r="F29" s="201"/>
      <c r="G29" s="199" t="s">
        <v>159</v>
      </c>
      <c r="H29" s="199" t="s">
        <v>159</v>
      </c>
      <c r="I29" s="199" t="s">
        <v>159</v>
      </c>
      <c r="J29" s="199" t="s">
        <v>159</v>
      </c>
      <c r="K29" s="199" t="s">
        <v>159</v>
      </c>
      <c r="L29" s="199" t="s">
        <v>159</v>
      </c>
      <c r="M29" s="199" t="s">
        <v>159</v>
      </c>
      <c r="N29" s="199" t="s">
        <v>159</v>
      </c>
      <c r="O29" s="199" t="s">
        <v>159</v>
      </c>
      <c r="P29" s="145"/>
      <c r="Q29" s="145"/>
      <c r="R29" s="145"/>
      <c r="S29" s="145"/>
      <c r="T29" s="145"/>
      <c r="U29" s="145"/>
    </row>
    <row r="30" ht="13.5" customHeight="1">
      <c r="A30" s="212"/>
      <c r="B30" s="213" t="s">
        <v>172</v>
      </c>
      <c r="C30" s="217"/>
      <c r="D30" s="215"/>
      <c r="E30" s="218"/>
      <c r="F30" s="201"/>
      <c r="G30" s="199"/>
      <c r="H30" s="201"/>
      <c r="I30" s="201"/>
      <c r="J30" s="201"/>
      <c r="K30" s="201"/>
      <c r="L30" s="201"/>
      <c r="M30" s="201"/>
      <c r="N30" s="201"/>
      <c r="O30" s="201"/>
      <c r="P30" s="145"/>
      <c r="Q30" s="145"/>
      <c r="R30" s="145"/>
      <c r="S30" s="145"/>
      <c r="T30" s="145"/>
      <c r="U30" s="145"/>
    </row>
    <row r="31" ht="13.5" customHeight="1">
      <c r="A31" s="212"/>
      <c r="B31" s="213"/>
      <c r="C31" s="217"/>
      <c r="D31" s="219" t="s">
        <v>175</v>
      </c>
      <c r="E31" s="218"/>
      <c r="F31" s="201"/>
      <c r="G31" s="199" t="s">
        <v>159</v>
      </c>
      <c r="H31" s="199" t="s">
        <v>159</v>
      </c>
      <c r="I31" s="199"/>
      <c r="J31" s="199" t="s">
        <v>159</v>
      </c>
      <c r="K31" s="199"/>
      <c r="L31" s="199"/>
      <c r="M31" s="199"/>
      <c r="N31" s="199"/>
      <c r="O31" s="199" t="s">
        <v>159</v>
      </c>
      <c r="P31" s="145"/>
      <c r="Q31" s="145"/>
      <c r="R31" s="145"/>
      <c r="S31" s="145"/>
      <c r="T31" s="145"/>
      <c r="U31" s="145"/>
    </row>
    <row r="32" ht="13.5" customHeight="1">
      <c r="A32" s="212"/>
      <c r="B32" s="213"/>
      <c r="C32" s="217"/>
      <c r="D32" s="219" t="s">
        <v>288</v>
      </c>
      <c r="E32" s="218"/>
      <c r="F32" s="201"/>
      <c r="G32" s="199"/>
      <c r="H32" s="199"/>
      <c r="I32" s="199" t="s">
        <v>159</v>
      </c>
      <c r="J32" s="199"/>
      <c r="K32" s="201"/>
      <c r="L32" s="201"/>
      <c r="M32" s="199"/>
      <c r="N32" s="201"/>
      <c r="O32" s="201"/>
      <c r="P32" s="145"/>
      <c r="Q32" s="145"/>
      <c r="R32" s="145"/>
      <c r="S32" s="145"/>
      <c r="T32" s="145"/>
      <c r="U32" s="145"/>
    </row>
    <row r="33" ht="13.5" customHeight="1">
      <c r="A33" s="212"/>
      <c r="B33" s="213"/>
      <c r="C33" s="217"/>
      <c r="D33" s="219" t="s">
        <v>245</v>
      </c>
      <c r="E33" s="218"/>
      <c r="F33" s="201"/>
      <c r="G33" s="199"/>
      <c r="H33" s="201"/>
      <c r="I33" s="199"/>
      <c r="J33" s="201"/>
      <c r="K33" s="199" t="s">
        <v>159</v>
      </c>
      <c r="L33" s="199" t="s">
        <v>159</v>
      </c>
      <c r="M33" s="199" t="s">
        <v>159</v>
      </c>
      <c r="N33" s="199" t="s">
        <v>159</v>
      </c>
      <c r="O33" s="199"/>
      <c r="P33" s="145"/>
      <c r="Q33" s="145"/>
      <c r="R33" s="145"/>
      <c r="S33" s="145"/>
      <c r="T33" s="145"/>
      <c r="U33" s="145"/>
    </row>
    <row r="34" ht="13.5" customHeight="1">
      <c r="A34" s="212"/>
      <c r="B34" s="213" t="s">
        <v>176</v>
      </c>
      <c r="C34" s="217"/>
      <c r="D34" s="215"/>
      <c r="E34" s="218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145"/>
      <c r="Q34" s="145"/>
      <c r="R34" s="145"/>
      <c r="S34" s="145"/>
      <c r="T34" s="145"/>
      <c r="U34" s="145"/>
    </row>
    <row r="35" ht="13.5" customHeight="1">
      <c r="A35" s="212"/>
      <c r="B35" s="213"/>
      <c r="C35" s="217"/>
      <c r="D35" s="219" t="s">
        <v>342</v>
      </c>
      <c r="E35" s="218"/>
      <c r="F35" s="199" t="s">
        <v>159</v>
      </c>
      <c r="G35" s="199"/>
      <c r="H35" s="199"/>
      <c r="I35" s="199"/>
      <c r="J35" s="201"/>
      <c r="K35" s="201"/>
      <c r="L35" s="201"/>
      <c r="M35" s="201"/>
      <c r="N35" s="201"/>
      <c r="O35" s="201"/>
      <c r="P35" s="145"/>
      <c r="Q35" s="145"/>
      <c r="R35" s="145"/>
      <c r="S35" s="145"/>
      <c r="T35" s="145"/>
      <c r="U35" s="145"/>
    </row>
    <row r="36" ht="13.5" customHeight="1">
      <c r="A36" s="247"/>
      <c r="B36" s="248" t="s">
        <v>330</v>
      </c>
      <c r="C36" s="18"/>
      <c r="D36" s="18"/>
      <c r="E36" s="249"/>
      <c r="F36" s="224"/>
      <c r="G36" s="224" t="s">
        <v>159</v>
      </c>
      <c r="H36" s="224" t="s">
        <v>159</v>
      </c>
      <c r="I36" s="224"/>
      <c r="J36" s="224"/>
      <c r="K36" s="224"/>
      <c r="L36" s="225"/>
      <c r="M36" s="225"/>
      <c r="N36" s="225"/>
      <c r="O36" s="225"/>
      <c r="P36" s="145"/>
      <c r="Q36" s="145"/>
      <c r="R36" s="145"/>
      <c r="S36" s="145"/>
      <c r="T36" s="145"/>
      <c r="U36" s="145"/>
    </row>
    <row r="37" ht="13.5" customHeight="1">
      <c r="A37" s="250"/>
      <c r="B37" s="248" t="s">
        <v>331</v>
      </c>
      <c r="C37" s="18"/>
      <c r="D37" s="18"/>
      <c r="E37" s="251"/>
      <c r="F37" s="252"/>
      <c r="G37" s="252"/>
      <c r="H37" s="252"/>
      <c r="I37" s="252" t="s">
        <v>159</v>
      </c>
      <c r="J37" s="252"/>
      <c r="K37" s="253"/>
      <c r="L37" s="252"/>
      <c r="M37" s="253"/>
      <c r="N37" s="253"/>
      <c r="O37" s="253"/>
      <c r="P37" s="145"/>
      <c r="Q37" s="145"/>
      <c r="R37" s="145"/>
      <c r="S37" s="145"/>
      <c r="T37" s="145"/>
      <c r="U37" s="145"/>
    </row>
    <row r="38" ht="13.5" customHeight="1">
      <c r="A38" s="250"/>
      <c r="B38" s="248" t="s">
        <v>343</v>
      </c>
      <c r="C38" s="18"/>
      <c r="D38" s="18"/>
      <c r="E38" s="251"/>
      <c r="F38" s="252"/>
      <c r="G38" s="252"/>
      <c r="H38" s="252"/>
      <c r="I38" s="252"/>
      <c r="J38" s="252" t="s">
        <v>159</v>
      </c>
      <c r="K38" s="252"/>
      <c r="L38" s="253"/>
      <c r="M38" s="252"/>
      <c r="N38" s="253"/>
      <c r="O38" s="253"/>
      <c r="P38" s="145"/>
      <c r="Q38" s="145"/>
      <c r="R38" s="145"/>
      <c r="S38" s="145"/>
      <c r="T38" s="145"/>
      <c r="U38" s="145"/>
    </row>
    <row r="39" ht="13.5" customHeight="1">
      <c r="A39" s="250"/>
      <c r="B39" s="248" t="s">
        <v>334</v>
      </c>
      <c r="C39" s="18"/>
      <c r="D39" s="18"/>
      <c r="E39" s="251"/>
      <c r="F39" s="252"/>
      <c r="G39" s="252"/>
      <c r="H39" s="252"/>
      <c r="I39" s="252"/>
      <c r="J39" s="252"/>
      <c r="K39" s="252" t="s">
        <v>159</v>
      </c>
      <c r="L39" s="252" t="s">
        <v>159</v>
      </c>
      <c r="M39" s="252"/>
      <c r="N39" s="252"/>
      <c r="O39" s="252"/>
      <c r="P39" s="145"/>
      <c r="Q39" s="145"/>
      <c r="R39" s="145"/>
      <c r="S39" s="145"/>
      <c r="T39" s="145"/>
      <c r="U39" s="145"/>
    </row>
    <row r="40" ht="13.5" customHeight="1">
      <c r="A40" s="250"/>
      <c r="B40" s="259" t="s">
        <v>335</v>
      </c>
      <c r="C40" s="260"/>
      <c r="D40" s="260"/>
      <c r="E40" s="251"/>
      <c r="F40" s="252"/>
      <c r="G40" s="252"/>
      <c r="H40" s="252"/>
      <c r="I40" s="252"/>
      <c r="J40" s="252"/>
      <c r="K40" s="253"/>
      <c r="L40" s="252"/>
      <c r="M40" s="252" t="s">
        <v>159</v>
      </c>
      <c r="N40" s="252"/>
      <c r="O40" s="252"/>
      <c r="P40" s="145"/>
      <c r="Q40" s="145"/>
      <c r="R40" s="145"/>
      <c r="S40" s="145"/>
      <c r="T40" s="145"/>
      <c r="U40" s="145"/>
    </row>
    <row r="41" ht="18.0" customHeight="1">
      <c r="A41" s="250"/>
      <c r="B41" s="254" t="s">
        <v>344</v>
      </c>
      <c r="C41" s="241"/>
      <c r="D41" s="241"/>
      <c r="E41" s="251"/>
      <c r="F41" s="252"/>
      <c r="G41" s="252"/>
      <c r="H41" s="252"/>
      <c r="I41" s="252"/>
      <c r="J41" s="252"/>
      <c r="K41" s="253"/>
      <c r="L41" s="252"/>
      <c r="M41" s="252"/>
      <c r="N41" s="252" t="s">
        <v>159</v>
      </c>
      <c r="O41" s="252" t="s">
        <v>159</v>
      </c>
      <c r="P41" s="145"/>
      <c r="Q41" s="145"/>
      <c r="R41" s="145"/>
      <c r="S41" s="145"/>
      <c r="T41" s="145"/>
      <c r="U41" s="145"/>
    </row>
    <row r="42" ht="13.5" customHeight="1">
      <c r="A42" s="207" t="s">
        <v>184</v>
      </c>
      <c r="B42" s="255" t="s">
        <v>185</v>
      </c>
      <c r="C42" s="256"/>
      <c r="D42" s="257"/>
      <c r="E42" s="229"/>
      <c r="F42" s="230" t="s">
        <v>83</v>
      </c>
      <c r="G42" s="230" t="s">
        <v>84</v>
      </c>
      <c r="H42" s="230" t="s">
        <v>84</v>
      </c>
      <c r="I42" s="230" t="s">
        <v>65</v>
      </c>
      <c r="J42" s="230" t="s">
        <v>84</v>
      </c>
      <c r="K42" s="230" t="s">
        <v>84</v>
      </c>
      <c r="L42" s="230" t="s">
        <v>65</v>
      </c>
      <c r="M42" s="230" t="s">
        <v>65</v>
      </c>
      <c r="N42" s="230" t="s">
        <v>84</v>
      </c>
      <c r="O42" s="230" t="s">
        <v>84</v>
      </c>
      <c r="P42" s="145"/>
      <c r="Q42" s="145"/>
      <c r="R42" s="145"/>
      <c r="S42" s="145"/>
      <c r="T42" s="145"/>
      <c r="U42" s="145"/>
    </row>
    <row r="43" ht="13.5" customHeight="1">
      <c r="A43" s="212"/>
      <c r="B43" s="232" t="s">
        <v>186</v>
      </c>
      <c r="C43" s="18"/>
      <c r="D43" s="19"/>
      <c r="E43" s="233"/>
      <c r="F43" s="234" t="s">
        <v>187</v>
      </c>
      <c r="G43" s="234" t="s">
        <v>187</v>
      </c>
      <c r="H43" s="234" t="s">
        <v>187</v>
      </c>
      <c r="I43" s="234" t="s">
        <v>187</v>
      </c>
      <c r="J43" s="234" t="s">
        <v>187</v>
      </c>
      <c r="K43" s="235" t="s">
        <v>187</v>
      </c>
      <c r="L43" s="235" t="s">
        <v>187</v>
      </c>
      <c r="M43" s="235" t="s">
        <v>187</v>
      </c>
      <c r="N43" s="235" t="s">
        <v>187</v>
      </c>
      <c r="O43" s="235" t="s">
        <v>187</v>
      </c>
      <c r="P43" s="145"/>
      <c r="Q43" s="145"/>
      <c r="R43" s="145"/>
      <c r="S43" s="145"/>
      <c r="T43" s="145"/>
      <c r="U43" s="145"/>
    </row>
    <row r="44" ht="13.5" customHeight="1">
      <c r="A44" s="212"/>
      <c r="B44" s="236" t="s">
        <v>188</v>
      </c>
      <c r="C44" s="18"/>
      <c r="D44" s="19"/>
      <c r="E44" s="237"/>
      <c r="F44" s="238">
        <v>45991.0</v>
      </c>
      <c r="G44" s="238">
        <v>45991.0</v>
      </c>
      <c r="H44" s="238">
        <v>45991.0</v>
      </c>
      <c r="I44" s="238">
        <v>45991.0</v>
      </c>
      <c r="J44" s="238">
        <v>45991.0</v>
      </c>
      <c r="K44" s="238">
        <v>45991.0</v>
      </c>
      <c r="L44" s="238">
        <v>45991.0</v>
      </c>
      <c r="M44" s="238">
        <v>45991.0</v>
      </c>
      <c r="N44" s="238">
        <v>45991.0</v>
      </c>
      <c r="O44" s="238">
        <v>45991.0</v>
      </c>
      <c r="P44" s="145"/>
      <c r="Q44" s="145"/>
      <c r="R44" s="145"/>
      <c r="S44" s="145"/>
      <c r="T44" s="145"/>
      <c r="U44" s="145"/>
    </row>
    <row r="45" ht="79.5" customHeight="1">
      <c r="A45" s="239"/>
      <c r="B45" s="240" t="s">
        <v>189</v>
      </c>
      <c r="C45" s="241"/>
      <c r="D45" s="242"/>
      <c r="E45" s="243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145"/>
      <c r="Q45" s="145"/>
      <c r="R45" s="145"/>
      <c r="S45" s="145"/>
    </row>
    <row r="46" ht="12.0" customHeight="1">
      <c r="A46" s="245"/>
      <c r="B46" s="182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</row>
    <row r="47" ht="13.5" customHeight="1">
      <c r="A47" s="145"/>
      <c r="B47" s="182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</row>
    <row r="48" ht="13.5" customHeight="1">
      <c r="A48" s="145"/>
      <c r="B48" s="182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</row>
    <row r="49" ht="13.5" customHeight="1">
      <c r="A49" s="145"/>
      <c r="B49" s="182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</row>
    <row r="50" ht="13.5" customHeight="1">
      <c r="A50" s="145"/>
      <c r="B50" s="182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</row>
    <row r="51" ht="13.5" customHeight="1">
      <c r="A51" s="145"/>
      <c r="B51" s="182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</row>
    <row r="52" ht="13.5" customHeight="1">
      <c r="A52" s="145"/>
      <c r="B52" s="182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</row>
    <row r="53" ht="13.5" customHeight="1">
      <c r="A53" s="145"/>
      <c r="B53" s="182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</row>
    <row r="54" ht="13.5" customHeight="1">
      <c r="A54" s="145"/>
      <c r="B54" s="182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</row>
    <row r="55" ht="13.5" customHeight="1">
      <c r="A55" s="145"/>
      <c r="B55" s="182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</row>
    <row r="56" ht="13.5" customHeight="1">
      <c r="A56" s="145"/>
      <c r="B56" s="182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</row>
    <row r="57" ht="13.5" customHeight="1">
      <c r="A57" s="145"/>
      <c r="B57" s="182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</row>
    <row r="58" ht="13.5" customHeight="1">
      <c r="A58" s="145"/>
      <c r="B58" s="182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</row>
    <row r="59" ht="13.5" customHeight="1">
      <c r="A59" s="145"/>
      <c r="B59" s="182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</row>
    <row r="60" ht="13.5" customHeight="1">
      <c r="A60" s="145"/>
      <c r="B60" s="182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</row>
    <row r="61" ht="13.5" customHeight="1">
      <c r="A61" s="145"/>
      <c r="B61" s="182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</row>
    <row r="62" ht="13.5" customHeight="1">
      <c r="A62" s="145"/>
      <c r="B62" s="182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ht="13.5" customHeight="1">
      <c r="A63" s="145"/>
      <c r="B63" s="182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</row>
    <row r="64" ht="13.5" customHeight="1">
      <c r="A64" s="145"/>
      <c r="B64" s="182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</row>
    <row r="65" ht="13.5" customHeight="1">
      <c r="A65" s="145"/>
      <c r="B65" s="182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</row>
    <row r="66" ht="13.5" customHeight="1">
      <c r="A66" s="145"/>
      <c r="B66" s="182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</row>
    <row r="67" ht="13.5" customHeight="1">
      <c r="A67" s="145"/>
      <c r="B67" s="182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</row>
    <row r="68" ht="13.5" customHeight="1">
      <c r="A68" s="145"/>
      <c r="B68" s="182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</row>
    <row r="69" ht="13.5" customHeight="1">
      <c r="A69" s="145"/>
      <c r="B69" s="182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</row>
    <row r="70" ht="13.5" customHeight="1">
      <c r="A70" s="145"/>
      <c r="B70" s="182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</row>
    <row r="71" ht="13.5" customHeight="1">
      <c r="A71" s="145"/>
      <c r="B71" s="182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</row>
    <row r="72" ht="13.5" customHeight="1">
      <c r="A72" s="145"/>
      <c r="B72" s="182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</row>
    <row r="73" ht="13.5" customHeight="1">
      <c r="A73" s="1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</row>
    <row r="1002" ht="13.5" customHeight="1">
      <c r="A1002" s="145"/>
      <c r="B1002" s="182"/>
      <c r="C1002" s="145"/>
      <c r="D1002" s="146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</row>
    <row r="1003" ht="13.5" customHeight="1">
      <c r="A1003" s="145"/>
      <c r="B1003" s="182"/>
      <c r="C1003" s="145"/>
      <c r="D1003" s="146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</row>
  </sheetData>
  <mergeCells count="33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3:D43"/>
    <mergeCell ref="B44:D44"/>
    <mergeCell ref="B45:D45"/>
    <mergeCell ref="B36:D36"/>
    <mergeCell ref="B37:D37"/>
    <mergeCell ref="B38:D38"/>
    <mergeCell ref="B39:D39"/>
    <mergeCell ref="B40:D40"/>
    <mergeCell ref="B41:D41"/>
    <mergeCell ref="B42:D42"/>
  </mergeCells>
  <dataValidations>
    <dataValidation type="list" allowBlank="1" showInputMessage="1" showErrorMessage="1" prompt=" - " sqref="F10:O41">
      <formula1>"O"</formula1>
    </dataValidation>
    <dataValidation type="list" allowBlank="1" showInputMessage="1" showErrorMessage="1" prompt=" - " sqref="F42:O42">
      <formula1>"N,A,B"</formula1>
    </dataValidation>
    <dataValidation type="list" allowBlank="1" showInputMessage="1" showErrorMessage="1" prompt=" - " sqref="F43:O43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3" width="5.25"/>
    <col customWidth="1" min="14" max="14" width="4.0"/>
    <col customWidth="1" min="15" max="16" width="4.25"/>
    <col customWidth="1" min="17" max="17" width="3.88"/>
    <col customWidth="1" min="18" max="18" width="4.63"/>
    <col customWidth="1" min="19" max="19" width="4.5"/>
    <col customWidth="1" min="20" max="20" width="4.88"/>
    <col customWidth="1" min="21" max="21" width="5.0"/>
    <col customWidth="1" min="22" max="23" width="9.0"/>
    <col customWidth="1" min="24" max="28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ht="13.5" customHeight="1">
      <c r="A2" s="147" t="s">
        <v>141</v>
      </c>
      <c r="B2" s="148"/>
      <c r="C2" s="149" t="str">
        <f>Functions!E19</f>
        <v>CMB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Functions!D19</f>
        <v>createMealBatch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  <c r="AA2" s="145"/>
      <c r="AB2" s="145"/>
    </row>
    <row r="3" ht="13.5" customHeight="1">
      <c r="A3" s="158" t="s">
        <v>142</v>
      </c>
      <c r="B3" s="19"/>
      <c r="C3" s="159" t="s">
        <v>258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258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  <c r="AA3" s="145"/>
      <c r="AB3" s="145"/>
    </row>
    <row r="4" ht="13.5" customHeight="1">
      <c r="A4" s="158" t="s">
        <v>144</v>
      </c>
      <c r="B4" s="19"/>
      <c r="C4" s="261">
        <v>170.0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0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  <c r="AA4" s="145"/>
      <c r="AB4" s="145"/>
    </row>
    <row r="5" ht="13.5" customHeight="1">
      <c r="A5" s="158" t="s">
        <v>146</v>
      </c>
      <c r="B5" s="19"/>
      <c r="C5" s="17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  <c r="AA5" s="145"/>
      <c r="AB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  <c r="AA6" s="145"/>
      <c r="AB6" s="145"/>
    </row>
    <row r="7" ht="13.5" customHeight="1">
      <c r="A7" s="175">
        <f>COUNTIF(F63:HS63,"P")</f>
        <v>17</v>
      </c>
      <c r="B7" s="176"/>
      <c r="C7" s="177">
        <f>COUNTIF(F63:HS63,"F")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COUNTIF(E62:HS62,"N")</f>
        <v>2</v>
      </c>
      <c r="M7" s="179">
        <f>COUNTIF(E62:HS62,"A")</f>
        <v>6</v>
      </c>
      <c r="N7" s="179">
        <f>COUNTIF(E62:HS62,"B")</f>
        <v>9</v>
      </c>
      <c r="O7" s="177">
        <f>COUNTA(E9:HV9)</f>
        <v>17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  <c r="AA7" s="145"/>
      <c r="AB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246" t="s">
        <v>155</v>
      </c>
      <c r="M9" s="246" t="s">
        <v>191</v>
      </c>
      <c r="N9" s="246" t="s">
        <v>217</v>
      </c>
      <c r="O9" s="246" t="s">
        <v>218</v>
      </c>
      <c r="P9" s="246" t="s">
        <v>219</v>
      </c>
      <c r="Q9" s="246" t="s">
        <v>220</v>
      </c>
      <c r="R9" s="246" t="s">
        <v>221</v>
      </c>
      <c r="S9" s="246" t="s">
        <v>259</v>
      </c>
      <c r="T9" s="246" t="s">
        <v>260</v>
      </c>
      <c r="U9" s="246" t="s">
        <v>261</v>
      </c>
      <c r="V9" s="246" t="s">
        <v>262</v>
      </c>
      <c r="W9" s="188"/>
      <c r="X9" s="157"/>
      <c r="Y9" s="145"/>
      <c r="Z9" s="145"/>
      <c r="AA9" s="145"/>
      <c r="AB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45"/>
      <c r="X10" s="145"/>
      <c r="Y10" s="145"/>
      <c r="Z10" s="145"/>
      <c r="AA10" s="145"/>
      <c r="AB10" s="145"/>
    </row>
    <row r="11" ht="13.5" customHeight="1">
      <c r="A11" s="195"/>
      <c r="B11" s="196"/>
      <c r="C11" s="197"/>
      <c r="D11" s="202" t="s">
        <v>339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 t="s">
        <v>159</v>
      </c>
      <c r="L11" s="199" t="s">
        <v>159</v>
      </c>
      <c r="M11" s="199" t="s">
        <v>159</v>
      </c>
      <c r="N11" s="199" t="s">
        <v>159</v>
      </c>
      <c r="O11" s="199" t="s">
        <v>159</v>
      </c>
      <c r="P11" s="199" t="s">
        <v>159</v>
      </c>
      <c r="Q11" s="199" t="s">
        <v>159</v>
      </c>
      <c r="R11" s="199" t="s">
        <v>159</v>
      </c>
      <c r="S11" s="199" t="s">
        <v>159</v>
      </c>
      <c r="T11" s="199" t="s">
        <v>159</v>
      </c>
      <c r="U11" s="199" t="s">
        <v>159</v>
      </c>
      <c r="V11" s="199" t="s">
        <v>159</v>
      </c>
      <c r="W11" s="145"/>
      <c r="X11" s="157"/>
      <c r="Y11" s="145"/>
      <c r="Z11" s="145"/>
      <c r="AA11" s="145"/>
      <c r="AB11" s="145"/>
    </row>
    <row r="12" ht="13.5" customHeight="1">
      <c r="A12" s="195"/>
      <c r="B12" s="200" t="s">
        <v>322</v>
      </c>
      <c r="C12" s="197"/>
      <c r="D12" s="198"/>
      <c r="E12" s="193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145"/>
      <c r="X12" s="145"/>
      <c r="Y12" s="145"/>
      <c r="Z12" s="145"/>
      <c r="AA12" s="145"/>
      <c r="AB12" s="145"/>
    </row>
    <row r="13" ht="13.5" customHeight="1">
      <c r="A13" s="195"/>
      <c r="B13" s="196"/>
      <c r="C13" s="197"/>
      <c r="D13" s="202" t="s">
        <v>281</v>
      </c>
      <c r="E13" s="203"/>
      <c r="F13" s="199" t="s">
        <v>159</v>
      </c>
      <c r="G13" s="199"/>
      <c r="H13" s="199"/>
      <c r="I13" s="199" t="s">
        <v>159</v>
      </c>
      <c r="J13" s="199" t="s">
        <v>159</v>
      </c>
      <c r="K13" s="199" t="s">
        <v>159</v>
      </c>
      <c r="L13" s="199" t="s">
        <v>159</v>
      </c>
      <c r="M13" s="199" t="s">
        <v>159</v>
      </c>
      <c r="N13" s="199" t="s">
        <v>159</v>
      </c>
      <c r="O13" s="199" t="s">
        <v>159</v>
      </c>
      <c r="P13" s="199" t="s">
        <v>159</v>
      </c>
      <c r="Q13" s="199" t="s">
        <v>159</v>
      </c>
      <c r="R13" s="199" t="s">
        <v>159</v>
      </c>
      <c r="S13" s="199" t="s">
        <v>159</v>
      </c>
      <c r="T13" s="199" t="s">
        <v>159</v>
      </c>
      <c r="U13" s="199" t="s">
        <v>159</v>
      </c>
      <c r="V13" s="199" t="s">
        <v>159</v>
      </c>
      <c r="W13" s="145"/>
      <c r="X13" s="145"/>
      <c r="Y13" s="145"/>
      <c r="Z13" s="145"/>
      <c r="AA13" s="145"/>
      <c r="AB13" s="145"/>
    </row>
    <row r="14" ht="13.5" customHeight="1">
      <c r="A14" s="195"/>
      <c r="B14" s="196"/>
      <c r="C14" s="197"/>
      <c r="D14" s="202" t="s">
        <v>163</v>
      </c>
      <c r="E14" s="203"/>
      <c r="F14" s="199"/>
      <c r="G14" s="199" t="s">
        <v>159</v>
      </c>
      <c r="H14" s="199"/>
      <c r="I14" s="201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45"/>
      <c r="X14" s="145"/>
      <c r="Y14" s="145"/>
      <c r="Z14" s="145"/>
      <c r="AA14" s="145"/>
      <c r="AB14" s="145"/>
    </row>
    <row r="15" ht="13.5" customHeight="1">
      <c r="A15" s="195"/>
      <c r="B15" s="196"/>
      <c r="C15" s="197"/>
      <c r="D15" s="202" t="s">
        <v>278</v>
      </c>
      <c r="E15" s="203"/>
      <c r="F15" s="199"/>
      <c r="G15" s="199"/>
      <c r="H15" s="199" t="s">
        <v>159</v>
      </c>
      <c r="I15" s="201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45"/>
      <c r="X15" s="145"/>
      <c r="Y15" s="145"/>
      <c r="Z15" s="145"/>
      <c r="AA15" s="145"/>
      <c r="AB15" s="145"/>
    </row>
    <row r="16" ht="13.5" customHeight="1">
      <c r="A16" s="195"/>
      <c r="B16" s="200" t="s">
        <v>345</v>
      </c>
      <c r="C16" s="197"/>
      <c r="D16" s="202"/>
      <c r="E16" s="203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45"/>
      <c r="X16" s="145"/>
      <c r="Y16" s="145"/>
      <c r="Z16" s="145"/>
      <c r="AA16" s="145"/>
      <c r="AB16" s="145"/>
    </row>
    <row r="17" ht="13.5" customHeight="1">
      <c r="A17" s="195"/>
      <c r="B17" s="196"/>
      <c r="C17" s="197"/>
      <c r="D17" s="202" t="s">
        <v>346</v>
      </c>
      <c r="E17" s="203"/>
      <c r="F17" s="199" t="s">
        <v>159</v>
      </c>
      <c r="G17" s="199" t="s">
        <v>159</v>
      </c>
      <c r="H17" s="199" t="s">
        <v>159</v>
      </c>
      <c r="I17" s="199"/>
      <c r="J17" s="199" t="s">
        <v>159</v>
      </c>
      <c r="K17" s="199" t="s">
        <v>159</v>
      </c>
      <c r="L17" s="199" t="s">
        <v>159</v>
      </c>
      <c r="M17" s="199" t="s">
        <v>159</v>
      </c>
      <c r="N17" s="199" t="s">
        <v>159</v>
      </c>
      <c r="O17" s="199" t="s">
        <v>159</v>
      </c>
      <c r="P17" s="199" t="s">
        <v>159</v>
      </c>
      <c r="Q17" s="199" t="s">
        <v>159</v>
      </c>
      <c r="R17" s="199" t="s">
        <v>159</v>
      </c>
      <c r="S17" s="199" t="s">
        <v>159</v>
      </c>
      <c r="T17" s="199" t="s">
        <v>159</v>
      </c>
      <c r="U17" s="199" t="s">
        <v>159</v>
      </c>
      <c r="V17" s="199" t="s">
        <v>159</v>
      </c>
      <c r="W17" s="145"/>
      <c r="X17" s="145"/>
      <c r="Y17" s="145"/>
      <c r="Z17" s="145"/>
      <c r="AA17" s="145"/>
      <c r="AB17" s="145"/>
    </row>
    <row r="18" ht="13.5" customHeight="1">
      <c r="A18" s="195"/>
      <c r="B18" s="196"/>
      <c r="C18" s="197"/>
      <c r="D18" s="202" t="s">
        <v>278</v>
      </c>
      <c r="E18" s="203"/>
      <c r="F18" s="199"/>
      <c r="G18" s="199"/>
      <c r="H18" s="199"/>
      <c r="I18" s="199" t="s">
        <v>159</v>
      </c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45"/>
      <c r="X18" s="145"/>
      <c r="Y18" s="145"/>
      <c r="Z18" s="145"/>
      <c r="AA18" s="145"/>
      <c r="AB18" s="145"/>
    </row>
    <row r="19" ht="13.5" customHeight="1">
      <c r="A19" s="195"/>
      <c r="B19" s="200" t="s">
        <v>347</v>
      </c>
      <c r="C19" s="197"/>
      <c r="D19" s="202"/>
      <c r="E19" s="204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45"/>
      <c r="X19" s="145"/>
      <c r="Y19" s="145"/>
      <c r="Z19" s="145"/>
      <c r="AA19" s="145"/>
      <c r="AB19" s="145"/>
    </row>
    <row r="20" ht="13.5" customHeight="1">
      <c r="A20" s="195"/>
      <c r="B20" s="196"/>
      <c r="C20" s="197"/>
      <c r="D20" s="202" t="s">
        <v>348</v>
      </c>
      <c r="E20" s="204"/>
      <c r="F20" s="199" t="s">
        <v>159</v>
      </c>
      <c r="G20" s="199" t="s">
        <v>159</v>
      </c>
      <c r="H20" s="199" t="s">
        <v>159</v>
      </c>
      <c r="I20" s="199" t="s">
        <v>159</v>
      </c>
      <c r="J20" s="199"/>
      <c r="K20" s="199"/>
      <c r="L20" s="199" t="s">
        <v>159</v>
      </c>
      <c r="M20" s="199" t="s">
        <v>159</v>
      </c>
      <c r="N20" s="199" t="s">
        <v>159</v>
      </c>
      <c r="O20" s="199" t="s">
        <v>159</v>
      </c>
      <c r="P20" s="199" t="s">
        <v>159</v>
      </c>
      <c r="Q20" s="199" t="s">
        <v>159</v>
      </c>
      <c r="R20" s="199" t="s">
        <v>159</v>
      </c>
      <c r="S20" s="199" t="s">
        <v>159</v>
      </c>
      <c r="T20" s="199" t="s">
        <v>159</v>
      </c>
      <c r="U20" s="199" t="s">
        <v>159</v>
      </c>
      <c r="V20" s="199" t="s">
        <v>159</v>
      </c>
      <c r="W20" s="145"/>
      <c r="X20" s="145"/>
      <c r="Y20" s="145"/>
      <c r="Z20" s="145"/>
      <c r="AA20" s="145"/>
      <c r="AB20" s="145"/>
    </row>
    <row r="21" ht="13.5" customHeight="1">
      <c r="A21" s="195"/>
      <c r="B21" s="196"/>
      <c r="C21" s="197"/>
      <c r="D21" s="202" t="s">
        <v>163</v>
      </c>
      <c r="E21" s="204"/>
      <c r="F21" s="199"/>
      <c r="G21" s="199"/>
      <c r="H21" s="199"/>
      <c r="I21" s="199"/>
      <c r="J21" s="199" t="s">
        <v>159</v>
      </c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45"/>
      <c r="X21" s="145"/>
      <c r="Y21" s="145"/>
      <c r="Z21" s="145"/>
      <c r="AA21" s="145"/>
      <c r="AB21" s="145"/>
    </row>
    <row r="22" ht="13.5" customHeight="1">
      <c r="A22" s="195"/>
      <c r="B22" s="196"/>
      <c r="C22" s="197"/>
      <c r="D22" s="202" t="s">
        <v>349</v>
      </c>
      <c r="E22" s="204"/>
      <c r="F22" s="199"/>
      <c r="G22" s="199"/>
      <c r="H22" s="199"/>
      <c r="I22" s="199"/>
      <c r="J22" s="199"/>
      <c r="K22" s="199" t="s">
        <v>159</v>
      </c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45"/>
      <c r="X22" s="145"/>
      <c r="Y22" s="145"/>
      <c r="Z22" s="145"/>
      <c r="AA22" s="145"/>
      <c r="AB22" s="145"/>
    </row>
    <row r="23" ht="13.5" customHeight="1">
      <c r="A23" s="195"/>
      <c r="B23" s="200" t="s">
        <v>350</v>
      </c>
      <c r="C23" s="197"/>
      <c r="D23" s="202"/>
      <c r="E23" s="204"/>
      <c r="F23" s="201"/>
      <c r="G23" s="201"/>
      <c r="H23" s="201"/>
      <c r="I23" s="201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45"/>
      <c r="X23" s="145"/>
      <c r="Y23" s="145"/>
      <c r="Z23" s="145"/>
      <c r="AA23" s="145"/>
      <c r="AB23" s="145"/>
    </row>
    <row r="24" ht="13.5" customHeight="1">
      <c r="A24" s="195"/>
      <c r="B24" s="196"/>
      <c r="C24" s="197"/>
      <c r="D24" s="202">
        <v>100.0</v>
      </c>
      <c r="E24" s="204"/>
      <c r="F24" s="199" t="s">
        <v>159</v>
      </c>
      <c r="G24" s="199" t="s">
        <v>159</v>
      </c>
      <c r="H24" s="199" t="s">
        <v>159</v>
      </c>
      <c r="I24" s="199" t="s">
        <v>159</v>
      </c>
      <c r="J24" s="199" t="s">
        <v>159</v>
      </c>
      <c r="K24" s="199" t="s">
        <v>159</v>
      </c>
      <c r="L24" s="199"/>
      <c r="M24" s="199"/>
      <c r="N24" s="199"/>
      <c r="O24" s="199" t="s">
        <v>159</v>
      </c>
      <c r="P24" s="199" t="s">
        <v>159</v>
      </c>
      <c r="Q24" s="199" t="s">
        <v>159</v>
      </c>
      <c r="R24" s="199" t="s">
        <v>159</v>
      </c>
      <c r="S24" s="199" t="s">
        <v>159</v>
      </c>
      <c r="T24" s="199" t="s">
        <v>159</v>
      </c>
      <c r="U24" s="199" t="s">
        <v>159</v>
      </c>
      <c r="V24" s="199" t="s">
        <v>159</v>
      </c>
      <c r="W24" s="145"/>
      <c r="X24" s="145"/>
      <c r="Y24" s="145"/>
      <c r="Z24" s="145"/>
      <c r="AA24" s="145"/>
      <c r="AB24" s="145"/>
    </row>
    <row r="25" ht="13.5" customHeight="1">
      <c r="A25" s="195"/>
      <c r="B25" s="196"/>
      <c r="C25" s="197"/>
      <c r="D25" s="202">
        <v>0.0</v>
      </c>
      <c r="E25" s="204"/>
      <c r="F25" s="201"/>
      <c r="G25" s="201"/>
      <c r="H25" s="201"/>
      <c r="I25" s="201"/>
      <c r="J25" s="199"/>
      <c r="K25" s="199"/>
      <c r="L25" s="199" t="s">
        <v>159</v>
      </c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45"/>
      <c r="X25" s="145"/>
      <c r="Y25" s="145"/>
      <c r="Z25" s="145"/>
      <c r="AA25" s="145"/>
      <c r="AB25" s="145"/>
    </row>
    <row r="26" ht="13.5" customHeight="1">
      <c r="A26" s="195"/>
      <c r="B26" s="196"/>
      <c r="C26" s="197"/>
      <c r="D26" s="202">
        <v>-10.0</v>
      </c>
      <c r="E26" s="204"/>
      <c r="F26" s="201"/>
      <c r="G26" s="201"/>
      <c r="H26" s="201"/>
      <c r="I26" s="201"/>
      <c r="J26" s="199"/>
      <c r="K26" s="199"/>
      <c r="L26" s="199"/>
      <c r="M26" s="199" t="s">
        <v>159</v>
      </c>
      <c r="N26" s="199"/>
      <c r="O26" s="199"/>
      <c r="P26" s="199"/>
      <c r="Q26" s="199"/>
      <c r="R26" s="199"/>
      <c r="S26" s="199"/>
      <c r="T26" s="199"/>
      <c r="U26" s="199"/>
      <c r="V26" s="199"/>
      <c r="W26" s="145"/>
      <c r="X26" s="145"/>
      <c r="Y26" s="145"/>
      <c r="Z26" s="145"/>
      <c r="AA26" s="145"/>
      <c r="AB26" s="145"/>
    </row>
    <row r="27" ht="13.5" customHeight="1">
      <c r="A27" s="195"/>
      <c r="B27" s="196"/>
      <c r="C27" s="197"/>
      <c r="D27" s="202">
        <v>10.5</v>
      </c>
      <c r="E27" s="204"/>
      <c r="F27" s="201"/>
      <c r="G27" s="201"/>
      <c r="H27" s="201"/>
      <c r="I27" s="201"/>
      <c r="J27" s="199"/>
      <c r="K27" s="199"/>
      <c r="L27" s="199"/>
      <c r="M27" s="199"/>
      <c r="N27" s="199" t="s">
        <v>159</v>
      </c>
      <c r="O27" s="199"/>
      <c r="P27" s="199"/>
      <c r="Q27" s="199"/>
      <c r="R27" s="199"/>
      <c r="S27" s="199"/>
      <c r="T27" s="199"/>
      <c r="U27" s="199"/>
      <c r="V27" s="199"/>
      <c r="W27" s="145"/>
      <c r="X27" s="145"/>
      <c r="Y27" s="145"/>
      <c r="Z27" s="145"/>
      <c r="AA27" s="145"/>
      <c r="AB27" s="145"/>
    </row>
    <row r="28" ht="13.5" customHeight="1">
      <c r="A28" s="195"/>
      <c r="B28" s="200" t="s">
        <v>351</v>
      </c>
      <c r="C28" s="197"/>
      <c r="D28" s="202"/>
      <c r="E28" s="204"/>
      <c r="F28" s="201"/>
      <c r="G28" s="201"/>
      <c r="H28" s="201"/>
      <c r="I28" s="201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45"/>
      <c r="X28" s="145"/>
      <c r="Y28" s="145"/>
      <c r="Z28" s="145"/>
      <c r="AA28" s="145"/>
      <c r="AB28" s="145"/>
    </row>
    <row r="29" ht="13.5" customHeight="1">
      <c r="A29" s="195"/>
      <c r="B29" s="196"/>
      <c r="C29" s="197"/>
      <c r="D29" s="202" t="s">
        <v>352</v>
      </c>
      <c r="E29" s="204"/>
      <c r="F29" s="199" t="s">
        <v>159</v>
      </c>
      <c r="G29" s="199" t="s">
        <v>159</v>
      </c>
      <c r="H29" s="199" t="s">
        <v>159</v>
      </c>
      <c r="I29" s="199" t="s">
        <v>159</v>
      </c>
      <c r="J29" s="199" t="s">
        <v>159</v>
      </c>
      <c r="K29" s="199" t="s">
        <v>159</v>
      </c>
      <c r="L29" s="199" t="s">
        <v>159</v>
      </c>
      <c r="M29" s="199" t="s">
        <v>159</v>
      </c>
      <c r="N29" s="199" t="s">
        <v>159</v>
      </c>
      <c r="O29" s="199"/>
      <c r="P29" s="199"/>
      <c r="Q29" s="199"/>
      <c r="R29" s="199"/>
      <c r="S29" s="199" t="s">
        <v>159</v>
      </c>
      <c r="T29" s="199" t="s">
        <v>159</v>
      </c>
      <c r="U29" s="199" t="s">
        <v>159</v>
      </c>
      <c r="V29" s="199" t="s">
        <v>159</v>
      </c>
      <c r="W29" s="145"/>
      <c r="X29" s="145"/>
      <c r="Y29" s="145"/>
      <c r="Z29" s="145"/>
      <c r="AA29" s="145"/>
      <c r="AB29" s="145"/>
    </row>
    <row r="30" ht="13.5" customHeight="1">
      <c r="A30" s="195"/>
      <c r="B30" s="196"/>
      <c r="C30" s="197"/>
      <c r="D30" s="202" t="s">
        <v>286</v>
      </c>
      <c r="E30" s="204"/>
      <c r="F30" s="201"/>
      <c r="G30" s="201"/>
      <c r="H30" s="201"/>
      <c r="I30" s="201"/>
      <c r="J30" s="199"/>
      <c r="K30" s="199"/>
      <c r="L30" s="199"/>
      <c r="M30" s="199"/>
      <c r="N30" s="199"/>
      <c r="O30" s="199" t="s">
        <v>159</v>
      </c>
      <c r="P30" s="199"/>
      <c r="Q30" s="199"/>
      <c r="R30" s="199"/>
      <c r="S30" s="199"/>
      <c r="T30" s="199"/>
      <c r="U30" s="199"/>
      <c r="V30" s="199"/>
      <c r="W30" s="145"/>
      <c r="X30" s="145"/>
      <c r="Y30" s="145"/>
      <c r="Z30" s="145"/>
      <c r="AA30" s="145"/>
      <c r="AB30" s="145"/>
    </row>
    <row r="31" ht="13.5" customHeight="1">
      <c r="A31" s="195"/>
      <c r="B31" s="196"/>
      <c r="C31" s="197"/>
      <c r="D31" s="202" t="s">
        <v>278</v>
      </c>
      <c r="E31" s="204"/>
      <c r="F31" s="201"/>
      <c r="G31" s="201"/>
      <c r="H31" s="201"/>
      <c r="I31" s="201"/>
      <c r="J31" s="199"/>
      <c r="K31" s="199"/>
      <c r="L31" s="199"/>
      <c r="M31" s="199"/>
      <c r="N31" s="199"/>
      <c r="O31" s="199"/>
      <c r="P31" s="199" t="s">
        <v>159</v>
      </c>
      <c r="Q31" s="199"/>
      <c r="R31" s="199"/>
      <c r="S31" s="199"/>
      <c r="T31" s="199"/>
      <c r="U31" s="199"/>
      <c r="V31" s="199"/>
      <c r="W31" s="145"/>
      <c r="X31" s="145"/>
      <c r="Y31" s="145"/>
      <c r="Z31" s="145"/>
      <c r="AA31" s="145"/>
      <c r="AB31" s="145"/>
    </row>
    <row r="32" ht="13.5" customHeight="1">
      <c r="A32" s="195"/>
      <c r="B32" s="196"/>
      <c r="C32" s="197"/>
      <c r="D32" s="202" t="s">
        <v>353</v>
      </c>
      <c r="E32" s="204"/>
      <c r="F32" s="201"/>
      <c r="G32" s="201"/>
      <c r="H32" s="201"/>
      <c r="I32" s="201"/>
      <c r="J32" s="199"/>
      <c r="K32" s="199"/>
      <c r="L32" s="199"/>
      <c r="M32" s="199"/>
      <c r="N32" s="199"/>
      <c r="O32" s="199"/>
      <c r="P32" s="199"/>
      <c r="Q32" s="199" t="s">
        <v>159</v>
      </c>
      <c r="R32" s="199"/>
      <c r="S32" s="199"/>
      <c r="T32" s="199"/>
      <c r="U32" s="199"/>
      <c r="V32" s="199"/>
      <c r="W32" s="145"/>
      <c r="X32" s="145"/>
      <c r="Y32" s="145"/>
      <c r="Z32" s="145"/>
      <c r="AA32" s="145"/>
      <c r="AB32" s="145"/>
    </row>
    <row r="33" ht="13.5" customHeight="1">
      <c r="A33" s="195"/>
      <c r="B33" s="196"/>
      <c r="C33" s="197"/>
      <c r="D33" s="202" t="s">
        <v>354</v>
      </c>
      <c r="E33" s="204"/>
      <c r="F33" s="201"/>
      <c r="G33" s="201"/>
      <c r="H33" s="201"/>
      <c r="I33" s="201"/>
      <c r="J33" s="199"/>
      <c r="K33" s="199"/>
      <c r="L33" s="199"/>
      <c r="M33" s="199"/>
      <c r="N33" s="199"/>
      <c r="O33" s="199"/>
      <c r="P33" s="199"/>
      <c r="Q33" s="199"/>
      <c r="R33" s="199" t="s">
        <v>159</v>
      </c>
      <c r="S33" s="199"/>
      <c r="T33" s="199"/>
      <c r="U33" s="199"/>
      <c r="V33" s="199"/>
      <c r="W33" s="145"/>
      <c r="X33" s="145"/>
      <c r="Y33" s="145"/>
      <c r="Z33" s="145"/>
      <c r="AA33" s="145"/>
      <c r="AB33" s="145"/>
    </row>
    <row r="34" ht="13.5" customHeight="1">
      <c r="A34" s="195"/>
      <c r="B34" s="200" t="s">
        <v>355</v>
      </c>
      <c r="C34" s="197"/>
      <c r="D34" s="202"/>
      <c r="E34" s="204"/>
      <c r="F34" s="201"/>
      <c r="G34" s="201"/>
      <c r="H34" s="201"/>
      <c r="I34" s="201"/>
      <c r="J34" s="201"/>
      <c r="K34" s="199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145"/>
      <c r="X34" s="145"/>
      <c r="Y34" s="145"/>
      <c r="Z34" s="145"/>
      <c r="AA34" s="145"/>
      <c r="AB34" s="145"/>
    </row>
    <row r="35" ht="13.5" customHeight="1">
      <c r="A35" s="195"/>
      <c r="B35" s="196"/>
      <c r="C35" s="197"/>
      <c r="D35" s="202" t="s">
        <v>356</v>
      </c>
      <c r="E35" s="204"/>
      <c r="F35" s="199" t="s">
        <v>159</v>
      </c>
      <c r="G35" s="199" t="s">
        <v>159</v>
      </c>
      <c r="H35" s="199" t="s">
        <v>159</v>
      </c>
      <c r="I35" s="199" t="s">
        <v>159</v>
      </c>
      <c r="J35" s="199" t="s">
        <v>159</v>
      </c>
      <c r="K35" s="199" t="s">
        <v>159</v>
      </c>
      <c r="L35" s="199" t="s">
        <v>159</v>
      </c>
      <c r="M35" s="199" t="s">
        <v>159</v>
      </c>
      <c r="N35" s="199" t="s">
        <v>159</v>
      </c>
      <c r="O35" s="199" t="s">
        <v>159</v>
      </c>
      <c r="P35" s="199" t="s">
        <v>159</v>
      </c>
      <c r="Q35" s="199" t="s">
        <v>159</v>
      </c>
      <c r="R35" s="199" t="s">
        <v>159</v>
      </c>
      <c r="S35" s="199"/>
      <c r="T35" s="199"/>
      <c r="U35" s="199"/>
      <c r="V35" s="199"/>
      <c r="W35" s="145"/>
      <c r="X35" s="145"/>
      <c r="Y35" s="145"/>
      <c r="Z35" s="145"/>
      <c r="AA35" s="145"/>
      <c r="AB35" s="145"/>
    </row>
    <row r="36" ht="13.5" customHeight="1">
      <c r="A36" s="195"/>
      <c r="B36" s="196"/>
      <c r="C36" s="197"/>
      <c r="D36" s="202" t="s">
        <v>286</v>
      </c>
      <c r="E36" s="204"/>
      <c r="F36" s="201"/>
      <c r="G36" s="199"/>
      <c r="H36" s="199"/>
      <c r="I36" s="201"/>
      <c r="J36" s="201"/>
      <c r="K36" s="201"/>
      <c r="L36" s="201"/>
      <c r="M36" s="199"/>
      <c r="N36" s="199"/>
      <c r="O36" s="201"/>
      <c r="P36" s="201"/>
      <c r="Q36" s="201"/>
      <c r="R36" s="201"/>
      <c r="S36" s="199" t="s">
        <v>159</v>
      </c>
      <c r="T36" s="201"/>
      <c r="U36" s="201"/>
      <c r="V36" s="201"/>
      <c r="W36" s="145"/>
      <c r="X36" s="145"/>
      <c r="Y36" s="145"/>
      <c r="Z36" s="145"/>
      <c r="AA36" s="145"/>
      <c r="AB36" s="145"/>
    </row>
    <row r="37" ht="13.5" customHeight="1">
      <c r="A37" s="195"/>
      <c r="B37" s="196"/>
      <c r="C37" s="197"/>
      <c r="D37" s="202" t="s">
        <v>278</v>
      </c>
      <c r="E37" s="204"/>
      <c r="F37" s="201"/>
      <c r="G37" s="199"/>
      <c r="H37" s="199"/>
      <c r="I37" s="201"/>
      <c r="J37" s="201"/>
      <c r="K37" s="201"/>
      <c r="L37" s="201"/>
      <c r="M37" s="199"/>
      <c r="N37" s="199"/>
      <c r="O37" s="201"/>
      <c r="P37" s="201"/>
      <c r="Q37" s="201"/>
      <c r="R37" s="201"/>
      <c r="S37" s="201"/>
      <c r="T37" s="199" t="s">
        <v>159</v>
      </c>
      <c r="U37" s="201"/>
      <c r="V37" s="201"/>
      <c r="W37" s="145"/>
      <c r="X37" s="145"/>
      <c r="Y37" s="145"/>
      <c r="Z37" s="145"/>
      <c r="AA37" s="145"/>
      <c r="AB37" s="145"/>
    </row>
    <row r="38" ht="13.5" customHeight="1">
      <c r="A38" s="195"/>
      <c r="B38" s="196"/>
      <c r="C38" s="197"/>
      <c r="D38" s="202" t="s">
        <v>357</v>
      </c>
      <c r="E38" s="204"/>
      <c r="F38" s="201"/>
      <c r="G38" s="199"/>
      <c r="H38" s="199"/>
      <c r="I38" s="201"/>
      <c r="J38" s="201"/>
      <c r="K38" s="201"/>
      <c r="L38" s="201"/>
      <c r="M38" s="199"/>
      <c r="N38" s="199"/>
      <c r="O38" s="201"/>
      <c r="P38" s="201"/>
      <c r="Q38" s="201"/>
      <c r="R38" s="201"/>
      <c r="S38" s="201"/>
      <c r="T38" s="201"/>
      <c r="U38" s="199" t="s">
        <v>159</v>
      </c>
      <c r="V38" s="201"/>
      <c r="W38" s="145"/>
      <c r="X38" s="145"/>
      <c r="Y38" s="145"/>
      <c r="Z38" s="145"/>
      <c r="AA38" s="145"/>
      <c r="AB38" s="145"/>
    </row>
    <row r="39" ht="13.5" customHeight="1">
      <c r="A39" s="195"/>
      <c r="B39" s="196"/>
      <c r="C39" s="197"/>
      <c r="D39" s="202" t="s">
        <v>358</v>
      </c>
      <c r="E39" s="204"/>
      <c r="F39" s="201"/>
      <c r="G39" s="199"/>
      <c r="H39" s="199"/>
      <c r="I39" s="201"/>
      <c r="J39" s="201"/>
      <c r="K39" s="201"/>
      <c r="L39" s="201"/>
      <c r="M39" s="199"/>
      <c r="N39" s="201"/>
      <c r="O39" s="199"/>
      <c r="P39" s="199"/>
      <c r="Q39" s="199"/>
      <c r="R39" s="199"/>
      <c r="S39" s="199"/>
      <c r="T39" s="199"/>
      <c r="U39" s="199"/>
      <c r="V39" s="199" t="s">
        <v>159</v>
      </c>
      <c r="W39" s="145"/>
      <c r="X39" s="145"/>
      <c r="Y39" s="145"/>
      <c r="Z39" s="145"/>
      <c r="AA39" s="145"/>
      <c r="AB39" s="145"/>
    </row>
    <row r="40" ht="13.5" customHeight="1">
      <c r="A40" s="207" t="s">
        <v>168</v>
      </c>
      <c r="B40" s="208" t="s">
        <v>169</v>
      </c>
      <c r="C40" s="209"/>
      <c r="D40" s="210"/>
      <c r="E40" s="211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45"/>
      <c r="X40" s="145"/>
      <c r="Y40" s="145"/>
      <c r="Z40" s="145"/>
      <c r="AA40" s="145"/>
      <c r="AB40" s="145"/>
    </row>
    <row r="41" ht="13.5" customHeight="1">
      <c r="A41" s="212"/>
      <c r="B41" s="213"/>
      <c r="C41" s="214"/>
      <c r="D41" s="215" t="s">
        <v>170</v>
      </c>
      <c r="E41" s="216"/>
      <c r="F41" s="199" t="s">
        <v>159</v>
      </c>
      <c r="G41" s="199"/>
      <c r="H41" s="199"/>
      <c r="I41" s="199" t="s">
        <v>159</v>
      </c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145"/>
      <c r="X41" s="145"/>
      <c r="Y41" s="145"/>
      <c r="Z41" s="145"/>
      <c r="AA41" s="145"/>
      <c r="AB41" s="145"/>
    </row>
    <row r="42" ht="13.5" customHeight="1">
      <c r="A42" s="212"/>
      <c r="B42" s="213"/>
      <c r="C42" s="217"/>
      <c r="D42" s="215" t="s">
        <v>171</v>
      </c>
      <c r="E42" s="218"/>
      <c r="F42" s="201"/>
      <c r="G42" s="199" t="s">
        <v>159</v>
      </c>
      <c r="H42" s="199" t="s">
        <v>159</v>
      </c>
      <c r="I42" s="199"/>
      <c r="J42" s="199" t="s">
        <v>159</v>
      </c>
      <c r="K42" s="199" t="s">
        <v>159</v>
      </c>
      <c r="L42" s="199" t="s">
        <v>159</v>
      </c>
      <c r="M42" s="199" t="s">
        <v>159</v>
      </c>
      <c r="N42" s="199" t="s">
        <v>159</v>
      </c>
      <c r="O42" s="199" t="s">
        <v>159</v>
      </c>
      <c r="P42" s="199" t="s">
        <v>159</v>
      </c>
      <c r="Q42" s="199" t="s">
        <v>159</v>
      </c>
      <c r="R42" s="199" t="s">
        <v>159</v>
      </c>
      <c r="S42" s="199" t="s">
        <v>159</v>
      </c>
      <c r="T42" s="199" t="s">
        <v>159</v>
      </c>
      <c r="U42" s="199" t="s">
        <v>159</v>
      </c>
      <c r="V42" s="199" t="s">
        <v>159</v>
      </c>
      <c r="W42" s="145"/>
      <c r="X42" s="145"/>
      <c r="Y42" s="145"/>
      <c r="Z42" s="145"/>
      <c r="AA42" s="145"/>
      <c r="AB42" s="145"/>
    </row>
    <row r="43" ht="13.5" customHeight="1">
      <c r="A43" s="212"/>
      <c r="B43" s="213" t="s">
        <v>172</v>
      </c>
      <c r="C43" s="217"/>
      <c r="D43" s="215"/>
      <c r="E43" s="218"/>
      <c r="F43" s="201"/>
      <c r="G43" s="199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145"/>
      <c r="X43" s="145"/>
      <c r="Y43" s="145"/>
      <c r="Z43" s="145"/>
      <c r="AA43" s="145"/>
      <c r="AB43" s="145"/>
    </row>
    <row r="44" ht="13.5" customHeight="1">
      <c r="A44" s="212"/>
      <c r="B44" s="213"/>
      <c r="C44" s="217"/>
      <c r="D44" s="219" t="s">
        <v>175</v>
      </c>
      <c r="E44" s="218"/>
      <c r="F44" s="201"/>
      <c r="G44" s="199" t="s">
        <v>159</v>
      </c>
      <c r="H44" s="199" t="s">
        <v>159</v>
      </c>
      <c r="I44" s="199"/>
      <c r="J44" s="199" t="s">
        <v>159</v>
      </c>
      <c r="K44" s="199" t="s">
        <v>159</v>
      </c>
      <c r="L44" s="199" t="s">
        <v>159</v>
      </c>
      <c r="M44" s="199" t="s">
        <v>159</v>
      </c>
      <c r="N44" s="199" t="s">
        <v>159</v>
      </c>
      <c r="O44" s="199" t="s">
        <v>159</v>
      </c>
      <c r="P44" s="199" t="s">
        <v>159</v>
      </c>
      <c r="Q44" s="199"/>
      <c r="R44" s="199" t="s">
        <v>159</v>
      </c>
      <c r="S44" s="199" t="s">
        <v>159</v>
      </c>
      <c r="T44" s="199" t="s">
        <v>159</v>
      </c>
      <c r="U44" s="199"/>
      <c r="V44" s="199" t="s">
        <v>159</v>
      </c>
      <c r="W44" s="145"/>
      <c r="X44" s="145"/>
      <c r="Y44" s="145"/>
      <c r="Z44" s="145"/>
      <c r="AA44" s="145"/>
      <c r="AB44" s="145"/>
    </row>
    <row r="45" ht="13.5" customHeight="1">
      <c r="A45" s="212"/>
      <c r="B45" s="213"/>
      <c r="C45" s="217"/>
      <c r="D45" s="219" t="s">
        <v>245</v>
      </c>
      <c r="E45" s="218"/>
      <c r="F45" s="201"/>
      <c r="G45" s="199"/>
      <c r="H45" s="199"/>
      <c r="I45" s="199"/>
      <c r="J45" s="199"/>
      <c r="K45" s="201"/>
      <c r="L45" s="201"/>
      <c r="M45" s="199"/>
      <c r="N45" s="201"/>
      <c r="O45" s="201"/>
      <c r="P45" s="201"/>
      <c r="Q45" s="199" t="s">
        <v>159</v>
      </c>
      <c r="R45" s="201"/>
      <c r="S45" s="201"/>
      <c r="T45" s="201"/>
      <c r="U45" s="199" t="s">
        <v>159</v>
      </c>
      <c r="V45" s="201"/>
      <c r="W45" s="145"/>
      <c r="X45" s="145"/>
      <c r="Y45" s="145"/>
      <c r="Z45" s="145"/>
      <c r="AA45" s="145"/>
      <c r="AB45" s="145"/>
    </row>
    <row r="46" ht="13.5" customHeight="1">
      <c r="A46" s="212"/>
      <c r="B46" s="213"/>
      <c r="C46" s="217"/>
      <c r="D46" s="219"/>
      <c r="E46" s="218"/>
      <c r="F46" s="201"/>
      <c r="G46" s="199"/>
      <c r="H46" s="201"/>
      <c r="I46" s="199"/>
      <c r="J46" s="201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45"/>
      <c r="X46" s="145"/>
      <c r="Y46" s="145"/>
      <c r="Z46" s="145"/>
      <c r="AA46" s="145"/>
      <c r="AB46" s="145"/>
    </row>
    <row r="47" ht="13.5" customHeight="1">
      <c r="A47" s="212"/>
      <c r="B47" s="213" t="s">
        <v>176</v>
      </c>
      <c r="C47" s="217"/>
      <c r="D47" s="215"/>
      <c r="E47" s="218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145"/>
      <c r="X47" s="145"/>
      <c r="Y47" s="145"/>
      <c r="Z47" s="145"/>
      <c r="AA47" s="145"/>
      <c r="AB47" s="145"/>
    </row>
    <row r="48" ht="13.5" customHeight="1">
      <c r="A48" s="212"/>
      <c r="B48" s="213"/>
      <c r="C48" s="217"/>
      <c r="D48" s="219" t="s">
        <v>359</v>
      </c>
      <c r="E48" s="218"/>
      <c r="F48" s="199" t="s">
        <v>159</v>
      </c>
      <c r="G48" s="199"/>
      <c r="H48" s="199"/>
      <c r="I48" s="199" t="s">
        <v>159</v>
      </c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145"/>
      <c r="X48" s="145"/>
      <c r="Y48" s="145"/>
      <c r="Z48" s="145"/>
      <c r="AA48" s="145"/>
      <c r="AB48" s="145"/>
    </row>
    <row r="49" ht="13.5" customHeight="1">
      <c r="A49" s="247"/>
      <c r="B49" s="248" t="s">
        <v>330</v>
      </c>
      <c r="C49" s="18"/>
      <c r="D49" s="18"/>
      <c r="E49" s="249"/>
      <c r="F49" s="224"/>
      <c r="G49" s="224" t="s">
        <v>159</v>
      </c>
      <c r="H49" s="224" t="s">
        <v>159</v>
      </c>
      <c r="I49" s="224"/>
      <c r="J49" s="224"/>
      <c r="K49" s="224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145"/>
      <c r="X49" s="145"/>
      <c r="Y49" s="145"/>
      <c r="Z49" s="145"/>
      <c r="AA49" s="145"/>
      <c r="AB49" s="145"/>
    </row>
    <row r="50" ht="13.5" customHeight="1">
      <c r="A50" s="250"/>
      <c r="B50" s="248" t="s">
        <v>360</v>
      </c>
      <c r="C50" s="18"/>
      <c r="D50" s="18"/>
      <c r="E50" s="251"/>
      <c r="F50" s="252"/>
      <c r="G50" s="252"/>
      <c r="H50" s="252"/>
      <c r="I50" s="252"/>
      <c r="J50" s="252" t="s">
        <v>159</v>
      </c>
      <c r="K50" s="253"/>
      <c r="L50" s="252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145"/>
      <c r="X50" s="145"/>
      <c r="Y50" s="145"/>
      <c r="Z50" s="145"/>
      <c r="AA50" s="145"/>
      <c r="AB50" s="145"/>
    </row>
    <row r="51" ht="13.5" customHeight="1">
      <c r="A51" s="250"/>
      <c r="B51" s="248" t="s">
        <v>361</v>
      </c>
      <c r="C51" s="18"/>
      <c r="D51" s="18"/>
      <c r="E51" s="251"/>
      <c r="F51" s="252"/>
      <c r="G51" s="252"/>
      <c r="H51" s="252"/>
      <c r="I51" s="252"/>
      <c r="J51" s="252"/>
      <c r="K51" s="252" t="s">
        <v>159</v>
      </c>
      <c r="L51" s="253"/>
      <c r="M51" s="252"/>
      <c r="N51" s="253"/>
      <c r="O51" s="253"/>
      <c r="P51" s="253"/>
      <c r="Q51" s="253"/>
      <c r="R51" s="253"/>
      <c r="S51" s="253"/>
      <c r="T51" s="253"/>
      <c r="U51" s="253"/>
      <c r="V51" s="253"/>
      <c r="W51" s="145"/>
      <c r="X51" s="145"/>
      <c r="Y51" s="145"/>
      <c r="Z51" s="145"/>
      <c r="AA51" s="145"/>
      <c r="AB51" s="145"/>
    </row>
    <row r="52" ht="13.5" customHeight="1">
      <c r="A52" s="250"/>
      <c r="B52" s="248" t="s">
        <v>362</v>
      </c>
      <c r="C52" s="18"/>
      <c r="D52" s="18"/>
      <c r="E52" s="251"/>
      <c r="F52" s="252"/>
      <c r="G52" s="252"/>
      <c r="H52" s="252"/>
      <c r="I52" s="252"/>
      <c r="J52" s="252"/>
      <c r="K52" s="252"/>
      <c r="L52" s="252" t="s">
        <v>159</v>
      </c>
      <c r="M52" s="252" t="s">
        <v>159</v>
      </c>
      <c r="N52" s="252"/>
      <c r="O52" s="252"/>
      <c r="P52" s="252"/>
      <c r="Q52" s="252"/>
      <c r="R52" s="252"/>
      <c r="S52" s="252"/>
      <c r="T52" s="252"/>
      <c r="U52" s="252"/>
      <c r="V52" s="252"/>
      <c r="W52" s="145"/>
      <c r="X52" s="145"/>
      <c r="Y52" s="145"/>
      <c r="Z52" s="145"/>
      <c r="AA52" s="145"/>
      <c r="AB52" s="145"/>
    </row>
    <row r="53" ht="13.5" customHeight="1">
      <c r="A53" s="250"/>
      <c r="B53" s="259" t="s">
        <v>363</v>
      </c>
      <c r="C53" s="260"/>
      <c r="D53" s="260"/>
      <c r="E53" s="251"/>
      <c r="F53" s="252"/>
      <c r="G53" s="252"/>
      <c r="H53" s="252"/>
      <c r="I53" s="252"/>
      <c r="J53" s="252"/>
      <c r="K53" s="253"/>
      <c r="L53" s="252"/>
      <c r="M53" s="252"/>
      <c r="N53" s="252" t="s">
        <v>159</v>
      </c>
      <c r="O53" s="252"/>
      <c r="P53" s="252"/>
      <c r="Q53" s="252"/>
      <c r="R53" s="252"/>
      <c r="S53" s="252"/>
      <c r="T53" s="252"/>
      <c r="U53" s="252"/>
      <c r="V53" s="252"/>
      <c r="W53" s="145"/>
      <c r="X53" s="145"/>
      <c r="Y53" s="145"/>
      <c r="Z53" s="145"/>
      <c r="AA53" s="145"/>
      <c r="AB53" s="145"/>
    </row>
    <row r="54" ht="13.5" customHeight="1">
      <c r="A54" s="250"/>
      <c r="B54" s="259" t="s">
        <v>364</v>
      </c>
      <c r="C54" s="260"/>
      <c r="D54" s="260"/>
      <c r="E54" s="251"/>
      <c r="F54" s="252"/>
      <c r="G54" s="252"/>
      <c r="H54" s="252"/>
      <c r="I54" s="252"/>
      <c r="J54" s="252"/>
      <c r="K54" s="253"/>
      <c r="L54" s="252"/>
      <c r="M54" s="252"/>
      <c r="N54" s="252"/>
      <c r="O54" s="252" t="s">
        <v>159</v>
      </c>
      <c r="P54" s="252"/>
      <c r="Q54" s="252"/>
      <c r="R54" s="252"/>
      <c r="S54" s="252"/>
      <c r="T54" s="252"/>
      <c r="U54" s="252"/>
      <c r="V54" s="252"/>
      <c r="W54" s="145"/>
      <c r="X54" s="145"/>
      <c r="Y54" s="145"/>
      <c r="Z54" s="145"/>
      <c r="AA54" s="145"/>
      <c r="AB54" s="145"/>
    </row>
    <row r="55" ht="13.5" customHeight="1">
      <c r="A55" s="250"/>
      <c r="B55" s="259" t="s">
        <v>365</v>
      </c>
      <c r="C55" s="260"/>
      <c r="D55" s="260"/>
      <c r="E55" s="251"/>
      <c r="F55" s="252"/>
      <c r="G55" s="252"/>
      <c r="H55" s="252"/>
      <c r="I55" s="252"/>
      <c r="J55" s="252"/>
      <c r="K55" s="253"/>
      <c r="L55" s="252"/>
      <c r="M55" s="252"/>
      <c r="N55" s="252"/>
      <c r="O55" s="252"/>
      <c r="P55" s="252" t="s">
        <v>159</v>
      </c>
      <c r="Q55" s="252"/>
      <c r="R55" s="252"/>
      <c r="S55" s="252"/>
      <c r="T55" s="252"/>
      <c r="U55" s="252"/>
      <c r="V55" s="252"/>
      <c r="W55" s="145"/>
      <c r="X55" s="145"/>
      <c r="Y55" s="145"/>
      <c r="Z55" s="145"/>
      <c r="AA55" s="145"/>
      <c r="AB55" s="145"/>
    </row>
    <row r="56" ht="13.5" customHeight="1">
      <c r="A56" s="250"/>
      <c r="B56" s="259" t="s">
        <v>366</v>
      </c>
      <c r="C56" s="260"/>
      <c r="D56" s="260"/>
      <c r="E56" s="251"/>
      <c r="F56" s="252"/>
      <c r="G56" s="252"/>
      <c r="H56" s="252"/>
      <c r="I56" s="252"/>
      <c r="J56" s="252"/>
      <c r="K56" s="253"/>
      <c r="L56" s="252"/>
      <c r="M56" s="252"/>
      <c r="N56" s="252"/>
      <c r="O56" s="252"/>
      <c r="P56" s="252"/>
      <c r="Q56" s="252" t="s">
        <v>159</v>
      </c>
      <c r="R56" s="252"/>
      <c r="S56" s="252"/>
      <c r="T56" s="252"/>
      <c r="U56" s="252"/>
      <c r="V56" s="252"/>
      <c r="W56" s="145"/>
      <c r="X56" s="145"/>
      <c r="Y56" s="145"/>
      <c r="Z56" s="145"/>
      <c r="AA56" s="145"/>
      <c r="AB56" s="145"/>
    </row>
    <row r="57" ht="13.5" customHeight="1">
      <c r="A57" s="250"/>
      <c r="B57" s="259" t="s">
        <v>367</v>
      </c>
      <c r="C57" s="260"/>
      <c r="D57" s="260"/>
      <c r="E57" s="251"/>
      <c r="F57" s="252"/>
      <c r="G57" s="252"/>
      <c r="H57" s="252"/>
      <c r="I57" s="252"/>
      <c r="J57" s="252"/>
      <c r="K57" s="253"/>
      <c r="L57" s="252"/>
      <c r="M57" s="252"/>
      <c r="N57" s="252"/>
      <c r="O57" s="252"/>
      <c r="P57" s="252"/>
      <c r="Q57" s="252"/>
      <c r="R57" s="252" t="s">
        <v>159</v>
      </c>
      <c r="S57" s="252"/>
      <c r="T57" s="252"/>
      <c r="U57" s="252"/>
      <c r="V57" s="252"/>
      <c r="W57" s="145"/>
      <c r="X57" s="145"/>
      <c r="Y57" s="145"/>
      <c r="Z57" s="145"/>
      <c r="AA57" s="145"/>
      <c r="AB57" s="145"/>
    </row>
    <row r="58" ht="13.5" customHeight="1">
      <c r="A58" s="250"/>
      <c r="B58" s="259" t="s">
        <v>368</v>
      </c>
      <c r="C58" s="260"/>
      <c r="D58" s="260"/>
      <c r="E58" s="251"/>
      <c r="F58" s="252"/>
      <c r="G58" s="252"/>
      <c r="H58" s="252"/>
      <c r="I58" s="252"/>
      <c r="J58" s="252"/>
      <c r="K58" s="253"/>
      <c r="L58" s="252"/>
      <c r="M58" s="252"/>
      <c r="N58" s="252"/>
      <c r="O58" s="252"/>
      <c r="P58" s="252"/>
      <c r="Q58" s="252"/>
      <c r="R58" s="252"/>
      <c r="S58" s="252" t="s">
        <v>159</v>
      </c>
      <c r="T58" s="252"/>
      <c r="U58" s="252"/>
      <c r="V58" s="252"/>
      <c r="W58" s="145"/>
      <c r="X58" s="145"/>
      <c r="Y58" s="145"/>
      <c r="Z58" s="145"/>
      <c r="AA58" s="145"/>
      <c r="AB58" s="145"/>
    </row>
    <row r="59" ht="13.5" customHeight="1">
      <c r="A59" s="250"/>
      <c r="B59" s="259" t="s">
        <v>369</v>
      </c>
      <c r="C59" s="260"/>
      <c r="D59" s="260"/>
      <c r="E59" s="251"/>
      <c r="F59" s="252"/>
      <c r="G59" s="252"/>
      <c r="H59" s="252"/>
      <c r="I59" s="252"/>
      <c r="J59" s="252"/>
      <c r="K59" s="253"/>
      <c r="L59" s="252"/>
      <c r="M59" s="252"/>
      <c r="N59" s="252"/>
      <c r="O59" s="252"/>
      <c r="P59" s="252"/>
      <c r="Q59" s="252"/>
      <c r="R59" s="252"/>
      <c r="S59" s="252"/>
      <c r="T59" s="252" t="s">
        <v>159</v>
      </c>
      <c r="U59" s="252"/>
      <c r="V59" s="252"/>
      <c r="W59" s="145"/>
      <c r="X59" s="145"/>
      <c r="Y59" s="145"/>
      <c r="Z59" s="145"/>
      <c r="AA59" s="145"/>
      <c r="AB59" s="145"/>
    </row>
    <row r="60" ht="13.5" customHeight="1">
      <c r="A60" s="250"/>
      <c r="B60" s="259" t="s">
        <v>370</v>
      </c>
      <c r="C60" s="260"/>
      <c r="D60" s="260"/>
      <c r="E60" s="251"/>
      <c r="F60" s="252"/>
      <c r="G60" s="252"/>
      <c r="H60" s="252"/>
      <c r="I60" s="252"/>
      <c r="J60" s="252"/>
      <c r="K60" s="253"/>
      <c r="L60" s="252"/>
      <c r="M60" s="252"/>
      <c r="N60" s="252"/>
      <c r="O60" s="252"/>
      <c r="P60" s="252"/>
      <c r="Q60" s="252"/>
      <c r="R60" s="252"/>
      <c r="S60" s="252"/>
      <c r="T60" s="252"/>
      <c r="U60" s="252" t="s">
        <v>159</v>
      </c>
      <c r="V60" s="252"/>
      <c r="W60" s="145"/>
      <c r="X60" s="145"/>
      <c r="Y60" s="145"/>
      <c r="Z60" s="145"/>
      <c r="AA60" s="145"/>
      <c r="AB60" s="145"/>
    </row>
    <row r="61" ht="18.0" customHeight="1">
      <c r="A61" s="250"/>
      <c r="B61" s="254" t="s">
        <v>371</v>
      </c>
      <c r="C61" s="241"/>
      <c r="D61" s="241"/>
      <c r="E61" s="251"/>
      <c r="F61" s="252"/>
      <c r="G61" s="252"/>
      <c r="H61" s="252"/>
      <c r="I61" s="252"/>
      <c r="J61" s="252"/>
      <c r="K61" s="253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 t="s">
        <v>159</v>
      </c>
      <c r="W61" s="145"/>
      <c r="X61" s="145"/>
      <c r="Y61" s="145"/>
      <c r="Z61" s="145"/>
      <c r="AA61" s="145"/>
      <c r="AB61" s="145"/>
    </row>
    <row r="62" ht="13.5" customHeight="1">
      <c r="A62" s="207" t="s">
        <v>184</v>
      </c>
      <c r="B62" s="255" t="s">
        <v>185</v>
      </c>
      <c r="C62" s="256"/>
      <c r="D62" s="257"/>
      <c r="E62" s="229"/>
      <c r="F62" s="230" t="s">
        <v>83</v>
      </c>
      <c r="G62" s="230" t="s">
        <v>84</v>
      </c>
      <c r="H62" s="230" t="s">
        <v>84</v>
      </c>
      <c r="I62" s="230" t="s">
        <v>83</v>
      </c>
      <c r="J62" s="230" t="s">
        <v>84</v>
      </c>
      <c r="K62" s="230" t="s">
        <v>84</v>
      </c>
      <c r="L62" s="230" t="s">
        <v>84</v>
      </c>
      <c r="M62" s="230" t="s">
        <v>65</v>
      </c>
      <c r="N62" s="230" t="s">
        <v>65</v>
      </c>
      <c r="O62" s="230" t="s">
        <v>84</v>
      </c>
      <c r="P62" s="230" t="s">
        <v>84</v>
      </c>
      <c r="Q62" s="230" t="s">
        <v>65</v>
      </c>
      <c r="R62" s="230" t="s">
        <v>65</v>
      </c>
      <c r="S62" s="230" t="s">
        <v>84</v>
      </c>
      <c r="T62" s="230" t="s">
        <v>84</v>
      </c>
      <c r="U62" s="230" t="s">
        <v>65</v>
      </c>
      <c r="V62" s="230" t="s">
        <v>65</v>
      </c>
      <c r="W62" s="145"/>
      <c r="X62" s="145"/>
      <c r="Y62" s="145"/>
      <c r="Z62" s="145"/>
      <c r="AA62" s="145"/>
      <c r="AB62" s="145"/>
    </row>
    <row r="63" ht="13.5" customHeight="1">
      <c r="A63" s="212"/>
      <c r="B63" s="232" t="s">
        <v>186</v>
      </c>
      <c r="C63" s="18"/>
      <c r="D63" s="19"/>
      <c r="E63" s="233"/>
      <c r="F63" s="234" t="s">
        <v>187</v>
      </c>
      <c r="G63" s="234" t="s">
        <v>187</v>
      </c>
      <c r="H63" s="234" t="s">
        <v>187</v>
      </c>
      <c r="I63" s="234" t="s">
        <v>187</v>
      </c>
      <c r="J63" s="234" t="s">
        <v>187</v>
      </c>
      <c r="K63" s="235" t="s">
        <v>187</v>
      </c>
      <c r="L63" s="235" t="s">
        <v>187</v>
      </c>
      <c r="M63" s="235" t="s">
        <v>187</v>
      </c>
      <c r="N63" s="235" t="s">
        <v>187</v>
      </c>
      <c r="O63" s="235" t="s">
        <v>187</v>
      </c>
      <c r="P63" s="235" t="s">
        <v>187</v>
      </c>
      <c r="Q63" s="235" t="s">
        <v>187</v>
      </c>
      <c r="R63" s="235" t="s">
        <v>187</v>
      </c>
      <c r="S63" s="235" t="s">
        <v>187</v>
      </c>
      <c r="T63" s="235" t="s">
        <v>187</v>
      </c>
      <c r="U63" s="235" t="s">
        <v>187</v>
      </c>
      <c r="V63" s="235" t="s">
        <v>187</v>
      </c>
      <c r="W63" s="145"/>
      <c r="X63" s="145"/>
      <c r="Y63" s="145"/>
      <c r="Z63" s="145"/>
      <c r="AA63" s="145"/>
      <c r="AB63" s="145"/>
    </row>
    <row r="64" ht="13.5" customHeight="1">
      <c r="A64" s="212"/>
      <c r="B64" s="236" t="s">
        <v>188</v>
      </c>
      <c r="C64" s="18"/>
      <c r="D64" s="19"/>
      <c r="E64" s="237"/>
      <c r="F64" s="238">
        <v>45991.0</v>
      </c>
      <c r="G64" s="238">
        <v>45991.0</v>
      </c>
      <c r="H64" s="238">
        <v>45991.0</v>
      </c>
      <c r="I64" s="238">
        <v>45991.0</v>
      </c>
      <c r="J64" s="238">
        <v>45991.0</v>
      </c>
      <c r="K64" s="238">
        <v>45991.0</v>
      </c>
      <c r="L64" s="238">
        <v>45991.0</v>
      </c>
      <c r="M64" s="238">
        <v>45991.0</v>
      </c>
      <c r="N64" s="238">
        <v>45991.0</v>
      </c>
      <c r="O64" s="238">
        <v>45991.0</v>
      </c>
      <c r="P64" s="238">
        <v>45991.0</v>
      </c>
      <c r="Q64" s="238">
        <v>45991.0</v>
      </c>
      <c r="R64" s="238">
        <v>45991.0</v>
      </c>
      <c r="S64" s="238">
        <v>45991.0</v>
      </c>
      <c r="T64" s="238">
        <v>45991.0</v>
      </c>
      <c r="U64" s="238">
        <v>45991.0</v>
      </c>
      <c r="V64" s="238">
        <v>45991.0</v>
      </c>
      <c r="W64" s="145"/>
      <c r="X64" s="145"/>
      <c r="Y64" s="145"/>
      <c r="Z64" s="145"/>
      <c r="AA64" s="145"/>
      <c r="AB64" s="145"/>
    </row>
    <row r="65" ht="79.5" customHeight="1">
      <c r="A65" s="239"/>
      <c r="B65" s="240" t="s">
        <v>189</v>
      </c>
      <c r="C65" s="241"/>
      <c r="D65" s="242"/>
      <c r="E65" s="243"/>
      <c r="F65" s="244"/>
      <c r="G65" s="244"/>
      <c r="H65" s="244"/>
      <c r="I65" s="244"/>
      <c r="J65" s="244"/>
      <c r="K65" s="244"/>
      <c r="L65" s="244"/>
      <c r="M65" s="244"/>
      <c r="N65" s="244"/>
      <c r="O65" s="244"/>
      <c r="P65" s="244"/>
      <c r="Q65" s="244"/>
      <c r="R65" s="244"/>
      <c r="S65" s="244"/>
      <c r="T65" s="244"/>
      <c r="U65" s="244"/>
      <c r="V65" s="244"/>
      <c r="W65" s="145"/>
      <c r="X65" s="145"/>
      <c r="Y65" s="145"/>
      <c r="Z65" s="145"/>
    </row>
    <row r="66" ht="12.0" customHeight="1">
      <c r="A66" s="245"/>
      <c r="B66" s="182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</row>
    <row r="67" ht="13.5" customHeight="1">
      <c r="A67" s="145"/>
      <c r="B67" s="182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</row>
    <row r="68" ht="13.5" customHeight="1">
      <c r="A68" s="145"/>
      <c r="B68" s="182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</row>
    <row r="69" ht="13.5" customHeight="1">
      <c r="A69" s="145"/>
      <c r="B69" s="182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</row>
    <row r="70" ht="13.5" customHeight="1">
      <c r="A70" s="145"/>
      <c r="B70" s="182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</row>
    <row r="71" ht="13.5" customHeight="1">
      <c r="A71" s="145"/>
      <c r="B71" s="182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</row>
    <row r="72" ht="13.5" customHeight="1">
      <c r="A72" s="145"/>
      <c r="B72" s="182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</row>
    <row r="73" ht="13.5" customHeight="1">
      <c r="A73" s="1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  <c r="AB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  <c r="AB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  <c r="AB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  <c r="AB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  <c r="AB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  <c r="AB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  <c r="AB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  <c r="AB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  <c r="AB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  <c r="AB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  <c r="AB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  <c r="AB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  <c r="AB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  <c r="AB999" s="145"/>
    </row>
    <row r="1000" ht="13.5" customHeight="1">
      <c r="A1000" s="145"/>
      <c r="B1000" s="182"/>
      <c r="C1000" s="145"/>
      <c r="D1000" s="146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  <c r="AB1000" s="145"/>
    </row>
    <row r="1001" ht="13.5" customHeight="1">
      <c r="A1001" s="145"/>
      <c r="B1001" s="182"/>
      <c r="C1001" s="145"/>
      <c r="D1001" s="146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  <c r="AB1001" s="145"/>
    </row>
    <row r="1002" ht="13.5" customHeight="1">
      <c r="A1002" s="145"/>
      <c r="B1002" s="182"/>
      <c r="C1002" s="145"/>
      <c r="D1002" s="146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  <c r="AB1002" s="145"/>
    </row>
    <row r="1003" ht="13.5" customHeight="1">
      <c r="A1003" s="145"/>
      <c r="B1003" s="182"/>
      <c r="C1003" s="145"/>
      <c r="D1003" s="146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  <c r="AB1003" s="145"/>
    </row>
    <row r="1004" ht="13.5" customHeight="1">
      <c r="A1004" s="145"/>
      <c r="B1004" s="182"/>
      <c r="C1004" s="145"/>
      <c r="D1004" s="146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  <c r="AB1004" s="145"/>
    </row>
    <row r="1005" ht="13.5" customHeight="1">
      <c r="A1005" s="145"/>
      <c r="B1005" s="182"/>
      <c r="C1005" s="145"/>
      <c r="D1005" s="146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  <c r="AB1005" s="145"/>
    </row>
    <row r="1006" ht="13.5" customHeight="1">
      <c r="A1006" s="145"/>
      <c r="B1006" s="182"/>
      <c r="C1006" s="145"/>
      <c r="D1006" s="146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  <c r="AB1006" s="145"/>
    </row>
    <row r="1007" ht="13.5" customHeight="1">
      <c r="A1007" s="145"/>
      <c r="B1007" s="182"/>
      <c r="C1007" s="145"/>
      <c r="D1007" s="146"/>
      <c r="E1007" s="145"/>
      <c r="F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  <c r="W1007" s="145"/>
      <c r="X1007" s="145"/>
      <c r="Y1007" s="145"/>
      <c r="Z1007" s="145"/>
      <c r="AA1007" s="145"/>
      <c r="AB1007" s="145"/>
    </row>
    <row r="1008" ht="13.5" customHeight="1">
      <c r="A1008" s="145"/>
      <c r="B1008" s="182"/>
      <c r="C1008" s="145"/>
      <c r="D1008" s="146"/>
      <c r="E1008" s="145"/>
      <c r="F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  <c r="W1008" s="145"/>
      <c r="X1008" s="145"/>
      <c r="Y1008" s="145"/>
      <c r="Z1008" s="145"/>
      <c r="AA1008" s="145"/>
      <c r="AB1008" s="145"/>
    </row>
    <row r="1009" ht="13.5" customHeight="1">
      <c r="A1009" s="145"/>
      <c r="B1009" s="182"/>
      <c r="C1009" s="145"/>
      <c r="D1009" s="146"/>
      <c r="E1009" s="145"/>
      <c r="F1009" s="145"/>
      <c r="G1009" s="145"/>
      <c r="H1009" s="145"/>
      <c r="I1009" s="145"/>
      <c r="J1009" s="145"/>
      <c r="K1009" s="145"/>
      <c r="L1009" s="145"/>
      <c r="M1009" s="145"/>
      <c r="N1009" s="145"/>
      <c r="O1009" s="145"/>
      <c r="P1009" s="145"/>
      <c r="Q1009" s="145"/>
      <c r="R1009" s="145"/>
      <c r="S1009" s="145"/>
      <c r="T1009" s="145"/>
      <c r="U1009" s="145"/>
      <c r="V1009" s="145"/>
      <c r="W1009" s="145"/>
      <c r="X1009" s="145"/>
      <c r="Y1009" s="145"/>
      <c r="Z1009" s="145"/>
      <c r="AA1009" s="145"/>
      <c r="AB1009" s="145"/>
    </row>
    <row r="1010" ht="13.5" customHeight="1">
      <c r="A1010" s="145"/>
      <c r="B1010" s="182"/>
      <c r="C1010" s="145"/>
      <c r="D1010" s="146"/>
      <c r="E1010" s="145"/>
      <c r="F1010" s="145"/>
      <c r="G1010" s="145"/>
      <c r="H1010" s="145"/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5"/>
      <c r="S1010" s="145"/>
      <c r="T1010" s="145"/>
      <c r="U1010" s="145"/>
      <c r="V1010" s="145"/>
      <c r="W1010" s="145"/>
      <c r="X1010" s="145"/>
      <c r="Y1010" s="145"/>
      <c r="Z1010" s="145"/>
      <c r="AA1010" s="145"/>
      <c r="AB1010" s="145"/>
    </row>
    <row r="1011" ht="13.5" customHeight="1">
      <c r="A1011" s="145"/>
      <c r="B1011" s="182"/>
      <c r="C1011" s="145"/>
      <c r="D1011" s="146"/>
      <c r="E1011" s="145"/>
      <c r="F1011" s="145"/>
      <c r="G1011" s="145"/>
      <c r="H1011" s="145"/>
      <c r="I1011" s="145"/>
      <c r="J1011" s="145"/>
      <c r="K1011" s="145"/>
      <c r="L1011" s="145"/>
      <c r="M1011" s="145"/>
      <c r="N1011" s="145"/>
      <c r="O1011" s="145"/>
      <c r="P1011" s="145"/>
      <c r="Q1011" s="145"/>
      <c r="R1011" s="145"/>
      <c r="S1011" s="145"/>
      <c r="T1011" s="145"/>
      <c r="U1011" s="145"/>
      <c r="V1011" s="145"/>
      <c r="W1011" s="145"/>
      <c r="X1011" s="145"/>
      <c r="Y1011" s="145"/>
      <c r="Z1011" s="145"/>
      <c r="AA1011" s="145"/>
      <c r="AB1011" s="145"/>
    </row>
    <row r="1012" ht="13.5" customHeight="1">
      <c r="A1012" s="145"/>
      <c r="B1012" s="182"/>
      <c r="C1012" s="145"/>
      <c r="D1012" s="146"/>
      <c r="E1012" s="145"/>
      <c r="F1012" s="145"/>
      <c r="G1012" s="145"/>
      <c r="H1012" s="145"/>
      <c r="I1012" s="145"/>
      <c r="J1012" s="145"/>
      <c r="K1012" s="145"/>
      <c r="L1012" s="145"/>
      <c r="M1012" s="145"/>
      <c r="N1012" s="145"/>
      <c r="O1012" s="145"/>
      <c r="P1012" s="145"/>
      <c r="Q1012" s="145"/>
      <c r="R1012" s="145"/>
      <c r="S1012" s="145"/>
      <c r="T1012" s="145"/>
      <c r="U1012" s="145"/>
      <c r="V1012" s="145"/>
      <c r="W1012" s="145"/>
      <c r="X1012" s="145"/>
      <c r="Y1012" s="145"/>
      <c r="Z1012" s="145"/>
      <c r="AA1012" s="145"/>
      <c r="AB1012" s="145"/>
    </row>
    <row r="1013" ht="13.5" customHeight="1">
      <c r="A1013" s="145"/>
      <c r="B1013" s="182"/>
      <c r="C1013" s="145"/>
      <c r="D1013" s="146"/>
      <c r="E1013" s="145"/>
      <c r="F1013" s="145"/>
      <c r="G1013" s="145"/>
      <c r="H1013" s="145"/>
      <c r="I1013" s="145"/>
      <c r="J1013" s="145"/>
      <c r="K1013" s="145"/>
      <c r="L1013" s="145"/>
      <c r="M1013" s="145"/>
      <c r="N1013" s="145"/>
      <c r="O1013" s="145"/>
      <c r="P1013" s="145"/>
      <c r="Q1013" s="145"/>
      <c r="R1013" s="145"/>
      <c r="S1013" s="145"/>
      <c r="T1013" s="145"/>
      <c r="U1013" s="145"/>
      <c r="V1013" s="145"/>
      <c r="W1013" s="145"/>
      <c r="X1013" s="145"/>
      <c r="Y1013" s="145"/>
      <c r="Z1013" s="145"/>
      <c r="AA1013" s="145"/>
      <c r="AB1013" s="145"/>
    </row>
    <row r="1014" ht="13.5" customHeight="1">
      <c r="A1014" s="145"/>
      <c r="B1014" s="182"/>
      <c r="C1014" s="145"/>
      <c r="D1014" s="146"/>
      <c r="E1014" s="145"/>
      <c r="F1014" s="145"/>
      <c r="G1014" s="145"/>
      <c r="H1014" s="145"/>
      <c r="I1014" s="145"/>
      <c r="J1014" s="145"/>
      <c r="K1014" s="145"/>
      <c r="L1014" s="145"/>
      <c r="M1014" s="145"/>
      <c r="N1014" s="145"/>
      <c r="O1014" s="145"/>
      <c r="P1014" s="145"/>
      <c r="Q1014" s="145"/>
      <c r="R1014" s="145"/>
      <c r="S1014" s="145"/>
      <c r="T1014" s="145"/>
      <c r="U1014" s="145"/>
      <c r="V1014" s="145"/>
      <c r="W1014" s="145"/>
      <c r="X1014" s="145"/>
      <c r="Y1014" s="145"/>
      <c r="Z1014" s="145"/>
      <c r="AA1014" s="145"/>
      <c r="AB1014" s="145"/>
    </row>
    <row r="1015" ht="13.5" customHeight="1">
      <c r="A1015" s="145"/>
      <c r="B1015" s="182"/>
      <c r="C1015" s="145"/>
      <c r="D1015" s="146"/>
      <c r="E1015" s="145"/>
      <c r="F1015" s="145"/>
      <c r="G1015" s="145"/>
      <c r="H1015" s="145"/>
      <c r="I1015" s="145"/>
      <c r="J1015" s="145"/>
      <c r="K1015" s="145"/>
      <c r="L1015" s="145"/>
      <c r="M1015" s="145"/>
      <c r="N1015" s="145"/>
      <c r="O1015" s="145"/>
      <c r="P1015" s="145"/>
      <c r="Q1015" s="145"/>
      <c r="R1015" s="145"/>
      <c r="S1015" s="145"/>
      <c r="T1015" s="145"/>
      <c r="U1015" s="145"/>
      <c r="V1015" s="145"/>
      <c r="W1015" s="145"/>
      <c r="X1015" s="145"/>
      <c r="Y1015" s="145"/>
      <c r="Z1015" s="145"/>
      <c r="AA1015" s="145"/>
      <c r="AB1015" s="145"/>
    </row>
    <row r="1016" ht="13.5" customHeight="1">
      <c r="A1016" s="145"/>
      <c r="B1016" s="182"/>
      <c r="C1016" s="145"/>
      <c r="D1016" s="146"/>
      <c r="E1016" s="145"/>
      <c r="F1016" s="145"/>
      <c r="G1016" s="145"/>
      <c r="H1016" s="145"/>
      <c r="I1016" s="145"/>
      <c r="J1016" s="145"/>
      <c r="K1016" s="145"/>
      <c r="L1016" s="145"/>
      <c r="M1016" s="145"/>
      <c r="N1016" s="145"/>
      <c r="O1016" s="145"/>
      <c r="P1016" s="145"/>
      <c r="Q1016" s="145"/>
      <c r="R1016" s="145"/>
      <c r="S1016" s="145"/>
      <c r="T1016" s="145"/>
      <c r="U1016" s="145"/>
      <c r="V1016" s="145"/>
      <c r="W1016" s="145"/>
      <c r="X1016" s="145"/>
      <c r="Y1016" s="145"/>
      <c r="Z1016" s="145"/>
      <c r="AA1016" s="145"/>
      <c r="AB1016" s="145"/>
    </row>
    <row r="1017" ht="13.5" customHeight="1">
      <c r="A1017" s="145"/>
      <c r="B1017" s="182"/>
      <c r="C1017" s="145"/>
      <c r="D1017" s="146"/>
      <c r="E1017" s="145"/>
      <c r="F1017" s="145"/>
      <c r="G1017" s="145"/>
      <c r="H1017" s="145"/>
      <c r="I1017" s="145"/>
      <c r="J1017" s="145"/>
      <c r="K1017" s="145"/>
      <c r="L1017" s="145"/>
      <c r="M1017" s="145"/>
      <c r="N1017" s="145"/>
      <c r="O1017" s="145"/>
      <c r="P1017" s="145"/>
      <c r="Q1017" s="145"/>
      <c r="R1017" s="145"/>
      <c r="S1017" s="145"/>
      <c r="T1017" s="145"/>
      <c r="U1017" s="145"/>
      <c r="V1017" s="145"/>
      <c r="W1017" s="145"/>
      <c r="X1017" s="145"/>
      <c r="Y1017" s="145"/>
      <c r="Z1017" s="145"/>
      <c r="AA1017" s="145"/>
      <c r="AB1017" s="145"/>
    </row>
    <row r="1018" ht="13.5" customHeight="1">
      <c r="A1018" s="145"/>
      <c r="B1018" s="182"/>
      <c r="C1018" s="145"/>
      <c r="D1018" s="146"/>
      <c r="E1018" s="145"/>
      <c r="F1018" s="145"/>
      <c r="G1018" s="145"/>
      <c r="H1018" s="145"/>
      <c r="I1018" s="145"/>
      <c r="J1018" s="145"/>
      <c r="K1018" s="145"/>
      <c r="L1018" s="145"/>
      <c r="M1018" s="145"/>
      <c r="N1018" s="145"/>
      <c r="O1018" s="145"/>
      <c r="P1018" s="145"/>
      <c r="Q1018" s="145"/>
      <c r="R1018" s="145"/>
      <c r="S1018" s="145"/>
      <c r="T1018" s="145"/>
      <c r="U1018" s="145"/>
      <c r="V1018" s="145"/>
      <c r="W1018" s="145"/>
      <c r="X1018" s="145"/>
      <c r="Y1018" s="145"/>
      <c r="Z1018" s="145"/>
      <c r="AA1018" s="145"/>
      <c r="AB1018" s="145"/>
    </row>
    <row r="1019" ht="13.5" customHeight="1">
      <c r="A1019" s="145"/>
      <c r="B1019" s="182"/>
      <c r="C1019" s="145"/>
      <c r="D1019" s="146"/>
      <c r="E1019" s="145"/>
      <c r="F1019" s="145"/>
      <c r="G1019" s="145"/>
      <c r="H1019" s="145"/>
      <c r="I1019" s="145"/>
      <c r="J1019" s="145"/>
      <c r="K1019" s="145"/>
      <c r="L1019" s="145"/>
      <c r="M1019" s="145"/>
      <c r="N1019" s="145"/>
      <c r="O1019" s="145"/>
      <c r="P1019" s="145"/>
      <c r="Q1019" s="145"/>
      <c r="R1019" s="145"/>
      <c r="S1019" s="145"/>
      <c r="T1019" s="145"/>
      <c r="U1019" s="145"/>
      <c r="V1019" s="145"/>
      <c r="W1019" s="145"/>
      <c r="X1019" s="145"/>
      <c r="Y1019" s="145"/>
      <c r="Z1019" s="145"/>
      <c r="AA1019" s="145"/>
      <c r="AB1019" s="145"/>
    </row>
    <row r="1020" ht="13.5" customHeight="1">
      <c r="A1020" s="145"/>
      <c r="B1020" s="182"/>
      <c r="C1020" s="145"/>
      <c r="D1020" s="146"/>
      <c r="E1020" s="145"/>
      <c r="F1020" s="145"/>
      <c r="G1020" s="145"/>
      <c r="H1020" s="145"/>
      <c r="I1020" s="145"/>
      <c r="J1020" s="145"/>
      <c r="K1020" s="145"/>
      <c r="L1020" s="145"/>
      <c r="M1020" s="145"/>
      <c r="N1020" s="145"/>
      <c r="O1020" s="145"/>
      <c r="P1020" s="145"/>
      <c r="Q1020" s="145"/>
      <c r="R1020" s="145"/>
      <c r="S1020" s="145"/>
      <c r="T1020" s="145"/>
      <c r="U1020" s="145"/>
      <c r="V1020" s="145"/>
      <c r="W1020" s="145"/>
      <c r="X1020" s="145"/>
      <c r="Y1020" s="145"/>
      <c r="Z1020" s="145"/>
      <c r="AA1020" s="145"/>
      <c r="AB1020" s="145"/>
    </row>
    <row r="1021" ht="13.5" customHeight="1">
      <c r="A1021" s="145"/>
      <c r="B1021" s="182"/>
      <c r="C1021" s="145"/>
      <c r="D1021" s="146"/>
      <c r="E1021" s="145"/>
      <c r="F1021" s="145"/>
      <c r="G1021" s="145"/>
      <c r="H1021" s="145"/>
      <c r="I1021" s="145"/>
      <c r="J1021" s="145"/>
      <c r="K1021" s="145"/>
      <c r="L1021" s="145"/>
      <c r="M1021" s="145"/>
      <c r="N1021" s="145"/>
      <c r="O1021" s="145"/>
      <c r="P1021" s="145"/>
      <c r="Q1021" s="145"/>
      <c r="R1021" s="145"/>
      <c r="S1021" s="145"/>
      <c r="T1021" s="145"/>
      <c r="U1021" s="145"/>
      <c r="V1021" s="145"/>
      <c r="W1021" s="145"/>
      <c r="X1021" s="145"/>
      <c r="Y1021" s="145"/>
      <c r="Z1021" s="145"/>
      <c r="AA1021" s="145"/>
      <c r="AB1021" s="145"/>
    </row>
    <row r="1022" ht="13.5" customHeight="1">
      <c r="A1022" s="145"/>
      <c r="B1022" s="182"/>
      <c r="C1022" s="145"/>
      <c r="D1022" s="146"/>
      <c r="E1022" s="145"/>
      <c r="F1022" s="145"/>
      <c r="G1022" s="145"/>
      <c r="H1022" s="145"/>
      <c r="I1022" s="145"/>
      <c r="J1022" s="145"/>
      <c r="K1022" s="145"/>
      <c r="L1022" s="145"/>
      <c r="M1022" s="145"/>
      <c r="N1022" s="145"/>
      <c r="O1022" s="145"/>
      <c r="P1022" s="145"/>
      <c r="Q1022" s="145"/>
      <c r="R1022" s="145"/>
      <c r="S1022" s="145"/>
      <c r="T1022" s="145"/>
      <c r="U1022" s="145"/>
      <c r="V1022" s="145"/>
      <c r="W1022" s="145"/>
      <c r="X1022" s="145"/>
      <c r="Y1022" s="145"/>
      <c r="Z1022" s="145"/>
      <c r="AA1022" s="145"/>
      <c r="AB1022" s="145"/>
    </row>
    <row r="1023" ht="13.5" customHeight="1">
      <c r="A1023" s="145"/>
      <c r="B1023" s="182"/>
      <c r="C1023" s="145"/>
      <c r="D1023" s="146"/>
      <c r="E1023" s="145"/>
      <c r="F1023" s="145"/>
      <c r="G1023" s="145"/>
      <c r="H1023" s="145"/>
      <c r="I1023" s="145"/>
      <c r="J1023" s="145"/>
      <c r="K1023" s="145"/>
      <c r="L1023" s="145"/>
      <c r="M1023" s="145"/>
      <c r="N1023" s="145"/>
      <c r="O1023" s="145"/>
      <c r="P1023" s="145"/>
      <c r="Q1023" s="145"/>
      <c r="R1023" s="145"/>
      <c r="S1023" s="145"/>
      <c r="T1023" s="145"/>
      <c r="U1023" s="145"/>
      <c r="V1023" s="145"/>
      <c r="W1023" s="145"/>
      <c r="X1023" s="145"/>
      <c r="Y1023" s="145"/>
      <c r="Z1023" s="145"/>
      <c r="AA1023" s="145"/>
      <c r="AB1023" s="145"/>
    </row>
  </sheetData>
  <mergeCells count="40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9:D49"/>
    <mergeCell ref="B50:D50"/>
    <mergeCell ref="B51:D51"/>
    <mergeCell ref="B52:D52"/>
    <mergeCell ref="B53:D53"/>
    <mergeCell ref="B54:D54"/>
    <mergeCell ref="B55:D55"/>
    <mergeCell ref="B63:D63"/>
    <mergeCell ref="B64:D64"/>
    <mergeCell ref="B65:D65"/>
    <mergeCell ref="B56:D56"/>
    <mergeCell ref="B57:D57"/>
    <mergeCell ref="B58:D58"/>
    <mergeCell ref="B59:D59"/>
    <mergeCell ref="B60:D60"/>
    <mergeCell ref="B61:D61"/>
    <mergeCell ref="B62:D62"/>
  </mergeCells>
  <dataValidations>
    <dataValidation type="list" allowBlank="1" showInputMessage="1" showErrorMessage="1" prompt=" - " sqref="F10:V61">
      <formula1>"O"</formula1>
    </dataValidation>
    <dataValidation type="list" allowBlank="1" showInputMessage="1" showErrorMessage="1" prompt=" - " sqref="F62:V62">
      <formula1>"N,A,B"</formula1>
    </dataValidation>
    <dataValidation type="list" allowBlank="1" showInputMessage="1" showErrorMessage="1" prompt=" - " sqref="F63:V63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2.5"/>
    <col customWidth="1" min="2" max="2" width="13.38"/>
    <col customWidth="1" min="3" max="3" width="10.88"/>
    <col customWidth="1" min="4" max="4" width="49.63"/>
    <col customWidth="1" hidden="1" min="5" max="5" width="1.88"/>
    <col customWidth="1" min="6" max="6" width="5.5"/>
    <col customWidth="1" min="7" max="7" width="4.88"/>
    <col customWidth="1" min="8" max="8" width="4.5"/>
    <col customWidth="1" min="9" max="9" width="4.13"/>
    <col customWidth="1" min="10" max="11" width="4.38"/>
    <col customWidth="1" min="12" max="13" width="5.25"/>
    <col customWidth="1" min="14" max="14" width="4.0"/>
    <col customWidth="1" min="15" max="16" width="4.25"/>
    <col customWidth="1" min="17" max="17" width="3.88"/>
    <col customWidth="1" min="18" max="18" width="4.63"/>
    <col customWidth="1" min="19" max="19" width="4.5"/>
    <col customWidth="1" min="20" max="20" width="4.88"/>
    <col customWidth="1" min="21" max="21" width="5.0"/>
    <col customWidth="1" min="22" max="23" width="9.0"/>
    <col customWidth="1" min="24" max="28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ht="13.5" customHeight="1">
      <c r="A2" s="147" t="s">
        <v>141</v>
      </c>
      <c r="B2" s="148"/>
      <c r="C2" s="149" t="str">
        <f>Functions!E20</f>
        <v>CCC</v>
      </c>
      <c r="D2" s="150"/>
      <c r="E2" s="151"/>
      <c r="F2" s="152" t="s">
        <v>107</v>
      </c>
      <c r="G2" s="153"/>
      <c r="H2" s="153"/>
      <c r="I2" s="153"/>
      <c r="J2" s="153"/>
      <c r="K2" s="154"/>
      <c r="L2" s="155" t="str">
        <f>Functions!D20</f>
        <v>createCampaignCategory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  <c r="AA2" s="145"/>
      <c r="AB2" s="145"/>
    </row>
    <row r="3" ht="13.5" customHeight="1">
      <c r="A3" s="158" t="s">
        <v>142</v>
      </c>
      <c r="B3" s="19"/>
      <c r="C3" s="159" t="s">
        <v>258</v>
      </c>
      <c r="D3" s="160"/>
      <c r="E3" s="161"/>
      <c r="F3" s="162" t="s">
        <v>143</v>
      </c>
      <c r="G3" s="18"/>
      <c r="H3" s="18"/>
      <c r="I3" s="18"/>
      <c r="J3" s="18"/>
      <c r="K3" s="19"/>
      <c r="L3" s="163" t="s">
        <v>258</v>
      </c>
      <c r="M3" s="160"/>
      <c r="N3" s="164"/>
      <c r="O3" s="165"/>
      <c r="P3" s="165"/>
      <c r="Q3" s="165"/>
      <c r="R3" s="165"/>
      <c r="S3" s="165"/>
      <c r="T3" s="166"/>
      <c r="U3" s="145"/>
      <c r="V3" s="145"/>
      <c r="W3" s="145"/>
      <c r="X3" s="145"/>
      <c r="Y3" s="145"/>
      <c r="Z3" s="145"/>
      <c r="AA3" s="145"/>
      <c r="AB3" s="145"/>
    </row>
    <row r="4" ht="13.5" customHeight="1">
      <c r="A4" s="158" t="s">
        <v>144</v>
      </c>
      <c r="B4" s="19"/>
      <c r="C4" s="261">
        <v>60.0</v>
      </c>
      <c r="D4" s="104"/>
      <c r="E4" s="168"/>
      <c r="F4" s="162" t="s">
        <v>145</v>
      </c>
      <c r="G4" s="18"/>
      <c r="H4" s="18"/>
      <c r="I4" s="18"/>
      <c r="J4" s="18"/>
      <c r="K4" s="19"/>
      <c r="L4" s="169">
        <f>IF(Functions!E6&lt;&gt;"N/A",SUM(C4*Functions!E6/1000,-O7),"N/A")</f>
        <v>-3</v>
      </c>
      <c r="M4" s="18"/>
      <c r="N4" s="18"/>
      <c r="O4" s="18"/>
      <c r="P4" s="18"/>
      <c r="Q4" s="18"/>
      <c r="R4" s="18"/>
      <c r="S4" s="18"/>
      <c r="T4" s="170"/>
      <c r="U4" s="145"/>
      <c r="V4" s="157"/>
      <c r="W4" s="145"/>
      <c r="X4" s="145"/>
      <c r="Y4" s="145"/>
      <c r="Z4" s="145"/>
      <c r="AA4" s="145"/>
      <c r="AB4" s="145"/>
    </row>
    <row r="5" ht="13.5" customHeight="1">
      <c r="A5" s="158" t="s">
        <v>146</v>
      </c>
      <c r="B5" s="19"/>
      <c r="C5" s="17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70"/>
      <c r="U5" s="145"/>
      <c r="V5" s="145"/>
      <c r="W5" s="145"/>
      <c r="X5" s="145"/>
      <c r="Y5" s="145"/>
      <c r="Z5" s="145"/>
      <c r="AA5" s="145"/>
      <c r="AB5" s="145"/>
    </row>
    <row r="6" ht="13.5" customHeight="1">
      <c r="A6" s="172" t="s">
        <v>80</v>
      </c>
      <c r="B6" s="19"/>
      <c r="C6" s="173" t="s">
        <v>81</v>
      </c>
      <c r="D6" s="18"/>
      <c r="E6" s="19"/>
      <c r="F6" s="173" t="s">
        <v>82</v>
      </c>
      <c r="G6" s="18"/>
      <c r="H6" s="18"/>
      <c r="I6" s="18"/>
      <c r="J6" s="18"/>
      <c r="K6" s="19"/>
      <c r="L6" s="174" t="s">
        <v>148</v>
      </c>
      <c r="M6" s="18"/>
      <c r="N6" s="104"/>
      <c r="O6" s="173" t="s">
        <v>85</v>
      </c>
      <c r="P6" s="18"/>
      <c r="Q6" s="18"/>
      <c r="R6" s="18"/>
      <c r="S6" s="18"/>
      <c r="T6" s="170"/>
      <c r="U6" s="145"/>
      <c r="V6" s="157"/>
      <c r="W6" s="145"/>
      <c r="X6" s="145"/>
      <c r="Y6" s="145"/>
      <c r="Z6" s="145"/>
      <c r="AA6" s="145"/>
      <c r="AB6" s="145"/>
    </row>
    <row r="7" ht="13.5" customHeight="1">
      <c r="A7" s="175">
        <f>COUNTIF(F39:HS39,"P")</f>
        <v>9</v>
      </c>
      <c r="B7" s="176"/>
      <c r="C7" s="177">
        <f>COUNTIF(F39:HS39,"F")</f>
        <v>0</v>
      </c>
      <c r="D7" s="178"/>
      <c r="E7" s="176"/>
      <c r="F7" s="177">
        <f>SUM(O7,-A7,-C7)</f>
        <v>0</v>
      </c>
      <c r="G7" s="178"/>
      <c r="H7" s="178"/>
      <c r="I7" s="178"/>
      <c r="J7" s="178"/>
      <c r="K7" s="176"/>
      <c r="L7" s="179">
        <f>COUNTIF(E38:N38,"N")</f>
        <v>1</v>
      </c>
      <c r="M7" s="179">
        <f>COUNTIF(E38:N38,"A")</f>
        <v>5</v>
      </c>
      <c r="N7" s="179">
        <f>COUNTIF(E38:N38,"B")</f>
        <v>3</v>
      </c>
      <c r="O7" s="177">
        <f>COUNTA(E9:N9)</f>
        <v>9</v>
      </c>
      <c r="P7" s="178"/>
      <c r="Q7" s="178"/>
      <c r="R7" s="178"/>
      <c r="S7" s="178"/>
      <c r="T7" s="180"/>
      <c r="U7" s="181"/>
      <c r="V7" s="145"/>
      <c r="W7" s="145"/>
      <c r="X7" s="145"/>
      <c r="Y7" s="145"/>
      <c r="Z7" s="145"/>
      <c r="AA7" s="145"/>
      <c r="AB7" s="145"/>
    </row>
    <row r="8" ht="12.0" customHeight="1">
      <c r="A8" s="145"/>
      <c r="B8" s="182"/>
      <c r="C8" s="145"/>
      <c r="D8" s="146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</row>
    <row r="9" ht="46.5" customHeight="1">
      <c r="A9" s="183"/>
      <c r="B9" s="184"/>
      <c r="C9" s="185"/>
      <c r="D9" s="186"/>
      <c r="E9" s="185"/>
      <c r="F9" s="187" t="s">
        <v>149</v>
      </c>
      <c r="G9" s="187" t="s">
        <v>150</v>
      </c>
      <c r="H9" s="187" t="s">
        <v>151</v>
      </c>
      <c r="I9" s="187" t="s">
        <v>152</v>
      </c>
      <c r="J9" s="187" t="s">
        <v>153</v>
      </c>
      <c r="K9" s="187" t="s">
        <v>154</v>
      </c>
      <c r="L9" s="246" t="s">
        <v>155</v>
      </c>
      <c r="M9" s="246" t="s">
        <v>191</v>
      </c>
      <c r="N9" s="246" t="s">
        <v>217</v>
      </c>
      <c r="O9" s="188"/>
      <c r="P9" s="157"/>
      <c r="Q9" s="145"/>
      <c r="R9" s="145"/>
      <c r="S9" s="145"/>
      <c r="T9" s="145"/>
    </row>
    <row r="10" ht="13.5" customHeight="1">
      <c r="A10" s="189" t="s">
        <v>156</v>
      </c>
      <c r="B10" s="190" t="s">
        <v>157</v>
      </c>
      <c r="C10" s="191"/>
      <c r="D10" s="192"/>
      <c r="E10" s="193"/>
      <c r="F10" s="194"/>
      <c r="G10" s="194"/>
      <c r="H10" s="194"/>
      <c r="I10" s="194"/>
      <c r="J10" s="194"/>
      <c r="K10" s="194"/>
      <c r="L10" s="194"/>
      <c r="M10" s="194"/>
      <c r="N10" s="194"/>
      <c r="O10" s="145"/>
      <c r="P10" s="145"/>
      <c r="Q10" s="145"/>
      <c r="R10" s="145"/>
      <c r="S10" s="145"/>
      <c r="T10" s="145"/>
    </row>
    <row r="11" ht="13.5" customHeight="1">
      <c r="A11" s="195"/>
      <c r="B11" s="196"/>
      <c r="C11" s="197"/>
      <c r="D11" s="202" t="s">
        <v>372</v>
      </c>
      <c r="E11" s="193"/>
      <c r="F11" s="199" t="s">
        <v>159</v>
      </c>
      <c r="G11" s="199" t="s">
        <v>159</v>
      </c>
      <c r="H11" s="199" t="s">
        <v>159</v>
      </c>
      <c r="I11" s="199" t="s">
        <v>159</v>
      </c>
      <c r="J11" s="199" t="s">
        <v>159</v>
      </c>
      <c r="K11" s="199"/>
      <c r="L11" s="199"/>
      <c r="M11" s="199"/>
      <c r="N11" s="199"/>
      <c r="O11" s="145"/>
      <c r="P11" s="157"/>
      <c r="Q11" s="145"/>
      <c r="R11" s="145"/>
      <c r="S11" s="145"/>
      <c r="T11" s="145"/>
    </row>
    <row r="12" ht="13.5" customHeight="1">
      <c r="A12" s="195"/>
      <c r="B12" s="196"/>
      <c r="C12" s="197"/>
      <c r="D12" s="202" t="s">
        <v>373</v>
      </c>
      <c r="E12" s="193"/>
      <c r="F12" s="199"/>
      <c r="G12" s="199"/>
      <c r="H12" s="199"/>
      <c r="I12" s="199"/>
      <c r="J12" s="199"/>
      <c r="K12" s="199" t="s">
        <v>159</v>
      </c>
      <c r="L12" s="199"/>
      <c r="M12" s="199"/>
      <c r="N12" s="199"/>
      <c r="O12" s="145"/>
      <c r="P12" s="157"/>
      <c r="Q12" s="145"/>
      <c r="R12" s="145"/>
      <c r="S12" s="145"/>
      <c r="T12" s="145"/>
    </row>
    <row r="13" ht="13.5" customHeight="1">
      <c r="A13" s="195"/>
      <c r="B13" s="196"/>
      <c r="C13" s="197"/>
      <c r="D13" s="202" t="s">
        <v>265</v>
      </c>
      <c r="E13" s="193"/>
      <c r="F13" s="199"/>
      <c r="G13" s="199"/>
      <c r="H13" s="199"/>
      <c r="I13" s="199"/>
      <c r="J13" s="199"/>
      <c r="K13" s="199"/>
      <c r="L13" s="199" t="s">
        <v>159</v>
      </c>
      <c r="M13" s="199"/>
      <c r="N13" s="199"/>
      <c r="O13" s="145"/>
      <c r="P13" s="157"/>
      <c r="Q13" s="145"/>
      <c r="R13" s="145"/>
      <c r="S13" s="145"/>
      <c r="T13" s="145"/>
    </row>
    <row r="14" ht="13.5" customHeight="1">
      <c r="A14" s="195"/>
      <c r="B14" s="196"/>
      <c r="C14" s="197"/>
      <c r="D14" s="202" t="s">
        <v>339</v>
      </c>
      <c r="E14" s="193"/>
      <c r="F14" s="199"/>
      <c r="G14" s="199"/>
      <c r="H14" s="199"/>
      <c r="I14" s="199"/>
      <c r="J14" s="199"/>
      <c r="K14" s="199"/>
      <c r="L14" s="199"/>
      <c r="M14" s="199" t="s">
        <v>159</v>
      </c>
      <c r="N14" s="199"/>
      <c r="O14" s="145"/>
      <c r="P14" s="157"/>
      <c r="Q14" s="145"/>
      <c r="R14" s="145"/>
      <c r="S14" s="145"/>
      <c r="T14" s="145"/>
    </row>
    <row r="15" ht="13.5" customHeight="1">
      <c r="A15" s="195"/>
      <c r="B15" s="196"/>
      <c r="C15" s="197"/>
      <c r="D15" s="202" t="s">
        <v>374</v>
      </c>
      <c r="E15" s="193"/>
      <c r="F15" s="199"/>
      <c r="G15" s="199"/>
      <c r="H15" s="199"/>
      <c r="I15" s="199"/>
      <c r="J15" s="199"/>
      <c r="K15" s="199"/>
      <c r="L15" s="199"/>
      <c r="M15" s="199"/>
      <c r="N15" s="199" t="s">
        <v>159</v>
      </c>
      <c r="O15" s="145"/>
      <c r="P15" s="157"/>
      <c r="Q15" s="145"/>
      <c r="R15" s="145"/>
      <c r="S15" s="145"/>
      <c r="T15" s="145"/>
    </row>
    <row r="16" ht="13.5" customHeight="1">
      <c r="A16" s="195"/>
      <c r="B16" s="196"/>
      <c r="C16" s="197"/>
      <c r="D16" s="202" t="s">
        <v>375</v>
      </c>
      <c r="E16" s="193"/>
      <c r="F16" s="199"/>
      <c r="G16" s="199"/>
      <c r="H16" s="199"/>
      <c r="I16" s="199" t="s">
        <v>159</v>
      </c>
      <c r="J16" s="199"/>
      <c r="K16" s="199"/>
      <c r="L16" s="199"/>
      <c r="M16" s="199"/>
      <c r="N16" s="199"/>
      <c r="O16" s="145"/>
      <c r="P16" s="157"/>
      <c r="Q16" s="145"/>
      <c r="R16" s="145"/>
      <c r="S16" s="145"/>
      <c r="T16" s="145"/>
    </row>
    <row r="17" ht="13.5" customHeight="1">
      <c r="A17" s="195"/>
      <c r="B17" s="200" t="s">
        <v>266</v>
      </c>
      <c r="C17" s="197"/>
      <c r="D17" s="198"/>
      <c r="E17" s="193"/>
      <c r="F17" s="201"/>
      <c r="G17" s="201"/>
      <c r="H17" s="201"/>
      <c r="I17" s="201"/>
      <c r="J17" s="201"/>
      <c r="K17" s="201"/>
      <c r="L17" s="201"/>
      <c r="M17" s="201"/>
      <c r="N17" s="201"/>
      <c r="O17" s="145"/>
      <c r="P17" s="145"/>
      <c r="Q17" s="145"/>
      <c r="R17" s="145"/>
      <c r="S17" s="145"/>
      <c r="T17" s="145"/>
    </row>
    <row r="18" ht="13.5" customHeight="1">
      <c r="A18" s="195"/>
      <c r="B18" s="196"/>
      <c r="C18" s="197"/>
      <c r="D18" s="202" t="s">
        <v>376</v>
      </c>
      <c r="E18" s="203"/>
      <c r="F18" s="199" t="s">
        <v>159</v>
      </c>
      <c r="G18" s="199"/>
      <c r="H18" s="199" t="s">
        <v>159</v>
      </c>
      <c r="I18" s="199" t="s">
        <v>159</v>
      </c>
      <c r="J18" s="199"/>
      <c r="K18" s="199" t="s">
        <v>159</v>
      </c>
      <c r="L18" s="199" t="s">
        <v>159</v>
      </c>
      <c r="M18" s="199" t="s">
        <v>159</v>
      </c>
      <c r="N18" s="199" t="s">
        <v>159</v>
      </c>
      <c r="O18" s="145"/>
      <c r="P18" s="145"/>
      <c r="Q18" s="145"/>
      <c r="R18" s="145"/>
      <c r="S18" s="145"/>
      <c r="T18" s="145"/>
    </row>
    <row r="19" ht="13.5" customHeight="1">
      <c r="A19" s="195"/>
      <c r="B19" s="196"/>
      <c r="C19" s="197"/>
      <c r="D19" s="202" t="s">
        <v>163</v>
      </c>
      <c r="E19" s="203"/>
      <c r="F19" s="199"/>
      <c r="G19" s="199" t="s">
        <v>159</v>
      </c>
      <c r="H19" s="199"/>
      <c r="I19" s="201"/>
      <c r="J19" s="199"/>
      <c r="K19" s="199"/>
      <c r="L19" s="199"/>
      <c r="M19" s="199"/>
      <c r="N19" s="199"/>
      <c r="O19" s="145"/>
      <c r="P19" s="145"/>
      <c r="Q19" s="145"/>
      <c r="R19" s="145"/>
      <c r="S19" s="145"/>
      <c r="T19" s="145"/>
    </row>
    <row r="20" ht="13.5" customHeight="1">
      <c r="A20" s="195"/>
      <c r="B20" s="196"/>
      <c r="C20" s="197"/>
      <c r="D20" s="202" t="s">
        <v>377</v>
      </c>
      <c r="E20" s="203"/>
      <c r="F20" s="199"/>
      <c r="G20" s="199"/>
      <c r="H20" s="199"/>
      <c r="I20" s="201"/>
      <c r="J20" s="199" t="s">
        <v>159</v>
      </c>
      <c r="K20" s="199"/>
      <c r="L20" s="199"/>
      <c r="M20" s="199"/>
      <c r="N20" s="199"/>
      <c r="O20" s="145"/>
      <c r="P20" s="145"/>
      <c r="Q20" s="145"/>
      <c r="R20" s="145"/>
      <c r="S20" s="145"/>
      <c r="T20" s="145"/>
    </row>
    <row r="21" ht="13.5" customHeight="1">
      <c r="A21" s="195"/>
      <c r="B21" s="200" t="s">
        <v>227</v>
      </c>
      <c r="C21" s="197"/>
      <c r="D21" s="202"/>
      <c r="E21" s="203"/>
      <c r="F21" s="199"/>
      <c r="G21" s="199"/>
      <c r="H21" s="199"/>
      <c r="I21" s="199"/>
      <c r="J21" s="199"/>
      <c r="K21" s="199"/>
      <c r="L21" s="199"/>
      <c r="M21" s="199"/>
      <c r="N21" s="199"/>
      <c r="O21" s="145"/>
      <c r="P21" s="145"/>
      <c r="Q21" s="145"/>
      <c r="R21" s="145"/>
      <c r="S21" s="145"/>
      <c r="T21" s="145"/>
    </row>
    <row r="22" ht="13.5" customHeight="1">
      <c r="A22" s="195"/>
      <c r="B22" s="196"/>
      <c r="C22" s="197"/>
      <c r="D22" s="202" t="s">
        <v>378</v>
      </c>
      <c r="E22" s="203"/>
      <c r="F22" s="199" t="s">
        <v>159</v>
      </c>
      <c r="G22" s="199" t="s">
        <v>159</v>
      </c>
      <c r="H22" s="199"/>
      <c r="I22" s="199" t="s">
        <v>159</v>
      </c>
      <c r="J22" s="199" t="s">
        <v>159</v>
      </c>
      <c r="K22" s="199" t="s">
        <v>159</v>
      </c>
      <c r="L22" s="199" t="s">
        <v>159</v>
      </c>
      <c r="M22" s="199" t="s">
        <v>159</v>
      </c>
      <c r="N22" s="199" t="s">
        <v>159</v>
      </c>
      <c r="O22" s="145"/>
      <c r="P22" s="145"/>
      <c r="Q22" s="145"/>
      <c r="R22" s="145"/>
      <c r="S22" s="145"/>
      <c r="T22" s="145"/>
    </row>
    <row r="23" ht="13.5" customHeight="1">
      <c r="A23" s="195"/>
      <c r="B23" s="196"/>
      <c r="C23" s="197"/>
      <c r="D23" s="202" t="s">
        <v>163</v>
      </c>
      <c r="E23" s="203"/>
      <c r="F23" s="199"/>
      <c r="G23" s="199"/>
      <c r="H23" s="199" t="s">
        <v>159</v>
      </c>
      <c r="I23" s="199"/>
      <c r="J23" s="199"/>
      <c r="K23" s="199"/>
      <c r="L23" s="199"/>
      <c r="M23" s="199"/>
      <c r="N23" s="199"/>
      <c r="O23" s="145"/>
      <c r="P23" s="145"/>
      <c r="Q23" s="145"/>
      <c r="R23" s="145"/>
      <c r="S23" s="145"/>
      <c r="T23" s="145"/>
    </row>
    <row r="24" ht="13.5" customHeight="1">
      <c r="A24" s="207" t="s">
        <v>168</v>
      </c>
      <c r="B24" s="208" t="s">
        <v>169</v>
      </c>
      <c r="C24" s="209"/>
      <c r="D24" s="210"/>
      <c r="E24" s="211"/>
      <c r="F24" s="194"/>
      <c r="G24" s="194"/>
      <c r="H24" s="194"/>
      <c r="I24" s="194"/>
      <c r="J24" s="194"/>
      <c r="K24" s="194"/>
      <c r="L24" s="194"/>
      <c r="M24" s="194"/>
      <c r="N24" s="194"/>
      <c r="O24" s="145"/>
      <c r="P24" s="145"/>
      <c r="Q24" s="145"/>
      <c r="R24" s="145"/>
      <c r="S24" s="145"/>
      <c r="T24" s="145"/>
    </row>
    <row r="25" ht="13.5" customHeight="1">
      <c r="A25" s="212"/>
      <c r="B25" s="213"/>
      <c r="C25" s="214"/>
      <c r="D25" s="215" t="s">
        <v>170</v>
      </c>
      <c r="E25" s="216"/>
      <c r="F25" s="199" t="s">
        <v>159</v>
      </c>
      <c r="G25" s="199"/>
      <c r="H25" s="199"/>
      <c r="I25" s="199"/>
      <c r="J25" s="201"/>
      <c r="K25" s="201"/>
      <c r="L25" s="201"/>
      <c r="M25" s="201"/>
      <c r="N25" s="201"/>
      <c r="O25" s="145"/>
      <c r="P25" s="145"/>
      <c r="Q25" s="145"/>
      <c r="R25" s="145"/>
      <c r="S25" s="145"/>
      <c r="T25" s="145"/>
    </row>
    <row r="26" ht="13.5" customHeight="1">
      <c r="A26" s="212"/>
      <c r="B26" s="213"/>
      <c r="C26" s="217"/>
      <c r="D26" s="215" t="s">
        <v>171</v>
      </c>
      <c r="E26" s="218"/>
      <c r="F26" s="201"/>
      <c r="G26" s="199" t="s">
        <v>159</v>
      </c>
      <c r="H26" s="199" t="s">
        <v>159</v>
      </c>
      <c r="I26" s="199" t="s">
        <v>159</v>
      </c>
      <c r="J26" s="199" t="s">
        <v>159</v>
      </c>
      <c r="K26" s="199" t="s">
        <v>159</v>
      </c>
      <c r="L26" s="199" t="s">
        <v>159</v>
      </c>
      <c r="M26" s="199" t="s">
        <v>159</v>
      </c>
      <c r="N26" s="199" t="s">
        <v>159</v>
      </c>
      <c r="O26" s="145"/>
      <c r="P26" s="145"/>
      <c r="Q26" s="145"/>
      <c r="R26" s="145"/>
      <c r="S26" s="145"/>
      <c r="T26" s="145"/>
    </row>
    <row r="27" ht="13.5" customHeight="1">
      <c r="A27" s="212"/>
      <c r="B27" s="213" t="s">
        <v>172</v>
      </c>
      <c r="C27" s="217"/>
      <c r="D27" s="215"/>
      <c r="E27" s="218"/>
      <c r="F27" s="201"/>
      <c r="G27" s="199"/>
      <c r="H27" s="201"/>
      <c r="I27" s="201"/>
      <c r="J27" s="201"/>
      <c r="K27" s="201"/>
      <c r="L27" s="201"/>
      <c r="M27" s="201"/>
      <c r="N27" s="201"/>
      <c r="O27" s="145"/>
      <c r="P27" s="145"/>
      <c r="Q27" s="145"/>
      <c r="R27" s="145"/>
      <c r="S27" s="145"/>
      <c r="T27" s="145"/>
    </row>
    <row r="28" ht="13.5" customHeight="1">
      <c r="A28" s="212"/>
      <c r="B28" s="213"/>
      <c r="C28" s="217"/>
      <c r="D28" s="219" t="s">
        <v>175</v>
      </c>
      <c r="E28" s="218"/>
      <c r="F28" s="201"/>
      <c r="G28" s="199" t="s">
        <v>159</v>
      </c>
      <c r="H28" s="199" t="s">
        <v>159</v>
      </c>
      <c r="I28" s="199"/>
      <c r="J28" s="199" t="s">
        <v>159</v>
      </c>
      <c r="K28" s="199"/>
      <c r="L28" s="199"/>
      <c r="M28" s="199"/>
      <c r="N28" s="199"/>
      <c r="O28" s="145"/>
      <c r="P28" s="145"/>
      <c r="Q28" s="145"/>
      <c r="R28" s="145"/>
      <c r="S28" s="145"/>
      <c r="T28" s="145"/>
    </row>
    <row r="29" ht="13.5" customHeight="1">
      <c r="A29" s="212"/>
      <c r="B29" s="213"/>
      <c r="C29" s="217"/>
      <c r="D29" s="219" t="s">
        <v>245</v>
      </c>
      <c r="E29" s="218"/>
      <c r="F29" s="201"/>
      <c r="G29" s="199"/>
      <c r="H29" s="199"/>
      <c r="I29" s="199" t="s">
        <v>159</v>
      </c>
      <c r="J29" s="199"/>
      <c r="K29" s="201"/>
      <c r="L29" s="201"/>
      <c r="M29" s="199"/>
      <c r="N29" s="201"/>
      <c r="O29" s="145"/>
      <c r="P29" s="145"/>
      <c r="Q29" s="145"/>
      <c r="R29" s="145"/>
      <c r="S29" s="145"/>
      <c r="T29" s="145"/>
    </row>
    <row r="30" ht="13.5" customHeight="1">
      <c r="A30" s="212"/>
      <c r="B30" s="213"/>
      <c r="C30" s="217"/>
      <c r="D30" s="219" t="s">
        <v>379</v>
      </c>
      <c r="E30" s="218"/>
      <c r="F30" s="201"/>
      <c r="G30" s="199"/>
      <c r="H30" s="199"/>
      <c r="I30" s="199"/>
      <c r="J30" s="199"/>
      <c r="K30" s="199" t="s">
        <v>159</v>
      </c>
      <c r="L30" s="199" t="s">
        <v>159</v>
      </c>
      <c r="M30" s="199" t="s">
        <v>159</v>
      </c>
      <c r="N30" s="199" t="s">
        <v>159</v>
      </c>
      <c r="O30" s="145"/>
      <c r="P30" s="145"/>
      <c r="Q30" s="145"/>
      <c r="R30" s="145"/>
      <c r="S30" s="145"/>
      <c r="T30" s="145"/>
    </row>
    <row r="31" ht="13.5" customHeight="1">
      <c r="A31" s="212"/>
      <c r="B31" s="213" t="s">
        <v>176</v>
      </c>
      <c r="C31" s="217"/>
      <c r="D31" s="215"/>
      <c r="E31" s="218"/>
      <c r="F31" s="201"/>
      <c r="G31" s="201"/>
      <c r="H31" s="201"/>
      <c r="I31" s="201"/>
      <c r="J31" s="201"/>
      <c r="K31" s="201"/>
      <c r="L31" s="201"/>
      <c r="M31" s="201"/>
      <c r="N31" s="201"/>
      <c r="O31" s="145"/>
      <c r="P31" s="145"/>
      <c r="Q31" s="145"/>
      <c r="R31" s="145"/>
      <c r="S31" s="145"/>
      <c r="T31" s="145"/>
    </row>
    <row r="32" ht="13.5" customHeight="1">
      <c r="A32" s="212"/>
      <c r="B32" s="213"/>
      <c r="C32" s="217"/>
      <c r="D32" s="219" t="s">
        <v>380</v>
      </c>
      <c r="E32" s="218"/>
      <c r="F32" s="199" t="s">
        <v>159</v>
      </c>
      <c r="G32" s="199"/>
      <c r="H32" s="199"/>
      <c r="I32" s="199"/>
      <c r="J32" s="201"/>
      <c r="K32" s="201"/>
      <c r="L32" s="201"/>
      <c r="M32" s="201"/>
      <c r="N32" s="201"/>
      <c r="O32" s="145"/>
      <c r="P32" s="145"/>
      <c r="Q32" s="145"/>
      <c r="R32" s="145"/>
      <c r="S32" s="145"/>
      <c r="T32" s="145"/>
    </row>
    <row r="33" ht="13.5" customHeight="1">
      <c r="A33" s="247"/>
      <c r="B33" s="248" t="s">
        <v>381</v>
      </c>
      <c r="C33" s="18"/>
      <c r="D33" s="18"/>
      <c r="E33" s="249"/>
      <c r="F33" s="224"/>
      <c r="G33" s="224" t="s">
        <v>159</v>
      </c>
      <c r="H33" s="224"/>
      <c r="I33" s="224"/>
      <c r="J33" s="224"/>
      <c r="K33" s="224"/>
      <c r="L33" s="225"/>
      <c r="M33" s="225"/>
      <c r="N33" s="225"/>
      <c r="O33" s="145"/>
      <c r="P33" s="145"/>
      <c r="Q33" s="145"/>
      <c r="R33" s="145"/>
      <c r="S33" s="145"/>
      <c r="T33" s="145"/>
    </row>
    <row r="34" ht="13.5" customHeight="1">
      <c r="A34" s="250"/>
      <c r="B34" s="248" t="s">
        <v>382</v>
      </c>
      <c r="C34" s="18"/>
      <c r="D34" s="18"/>
      <c r="E34" s="251"/>
      <c r="F34" s="252"/>
      <c r="G34" s="252"/>
      <c r="H34" s="252" t="s">
        <v>159</v>
      </c>
      <c r="I34" s="252"/>
      <c r="J34" s="252"/>
      <c r="K34" s="253"/>
      <c r="L34" s="252"/>
      <c r="M34" s="253"/>
      <c r="N34" s="253"/>
      <c r="O34" s="145"/>
      <c r="P34" s="145"/>
      <c r="Q34" s="145"/>
      <c r="R34" s="145"/>
      <c r="S34" s="145"/>
      <c r="T34" s="145"/>
    </row>
    <row r="35" ht="13.5" customHeight="1">
      <c r="A35" s="250"/>
      <c r="B35" s="248" t="s">
        <v>383</v>
      </c>
      <c r="C35" s="18"/>
      <c r="D35" s="18"/>
      <c r="E35" s="251"/>
      <c r="F35" s="252"/>
      <c r="G35" s="252"/>
      <c r="H35" s="252"/>
      <c r="I35" s="252" t="s">
        <v>159</v>
      </c>
      <c r="J35" s="252"/>
      <c r="K35" s="252"/>
      <c r="L35" s="253"/>
      <c r="M35" s="252"/>
      <c r="N35" s="253"/>
      <c r="O35" s="145"/>
      <c r="P35" s="145"/>
      <c r="Q35" s="145"/>
      <c r="R35" s="145"/>
      <c r="S35" s="145"/>
      <c r="T35" s="145"/>
    </row>
    <row r="36" ht="13.5" customHeight="1">
      <c r="A36" s="250"/>
      <c r="B36" s="248" t="s">
        <v>384</v>
      </c>
      <c r="C36" s="18"/>
      <c r="D36" s="18"/>
      <c r="E36" s="251"/>
      <c r="F36" s="252"/>
      <c r="G36" s="252"/>
      <c r="H36" s="252"/>
      <c r="I36" s="252"/>
      <c r="J36" s="252" t="s">
        <v>159</v>
      </c>
      <c r="K36" s="252"/>
      <c r="L36" s="252"/>
      <c r="M36" s="252"/>
      <c r="N36" s="252"/>
      <c r="O36" s="145"/>
      <c r="P36" s="145"/>
      <c r="Q36" s="145"/>
      <c r="R36" s="145"/>
      <c r="S36" s="145"/>
      <c r="T36" s="145"/>
    </row>
    <row r="37" ht="13.5" customHeight="1">
      <c r="A37" s="250"/>
      <c r="B37" s="259" t="s">
        <v>385</v>
      </c>
      <c r="C37" s="260"/>
      <c r="D37" s="260"/>
      <c r="E37" s="251"/>
      <c r="F37" s="252"/>
      <c r="G37" s="252"/>
      <c r="H37" s="252"/>
      <c r="I37" s="252"/>
      <c r="J37" s="252"/>
      <c r="K37" s="252" t="s">
        <v>159</v>
      </c>
      <c r="L37" s="252" t="s">
        <v>159</v>
      </c>
      <c r="M37" s="252" t="s">
        <v>159</v>
      </c>
      <c r="N37" s="252" t="s">
        <v>159</v>
      </c>
      <c r="O37" s="145"/>
      <c r="P37" s="145"/>
      <c r="Q37" s="145"/>
      <c r="R37" s="145"/>
      <c r="S37" s="145"/>
      <c r="T37" s="145"/>
    </row>
    <row r="38" ht="13.5" customHeight="1">
      <c r="A38" s="207" t="s">
        <v>184</v>
      </c>
      <c r="B38" s="255" t="s">
        <v>185</v>
      </c>
      <c r="C38" s="256"/>
      <c r="D38" s="257"/>
      <c r="E38" s="229"/>
      <c r="F38" s="230" t="s">
        <v>83</v>
      </c>
      <c r="G38" s="230" t="s">
        <v>84</v>
      </c>
      <c r="H38" s="230" t="s">
        <v>84</v>
      </c>
      <c r="I38" s="230" t="s">
        <v>65</v>
      </c>
      <c r="J38" s="230" t="s">
        <v>84</v>
      </c>
      <c r="K38" s="230" t="s">
        <v>65</v>
      </c>
      <c r="L38" s="230" t="s">
        <v>65</v>
      </c>
      <c r="M38" s="230" t="s">
        <v>65</v>
      </c>
      <c r="N38" s="230" t="s">
        <v>65</v>
      </c>
      <c r="O38" s="145"/>
      <c r="P38" s="145"/>
      <c r="Q38" s="145"/>
      <c r="R38" s="145"/>
      <c r="S38" s="145"/>
      <c r="T38" s="145"/>
    </row>
    <row r="39" ht="13.5" customHeight="1">
      <c r="A39" s="212"/>
      <c r="B39" s="232" t="s">
        <v>186</v>
      </c>
      <c r="C39" s="18"/>
      <c r="D39" s="19"/>
      <c r="E39" s="233"/>
      <c r="F39" s="234" t="s">
        <v>187</v>
      </c>
      <c r="G39" s="234" t="s">
        <v>187</v>
      </c>
      <c r="H39" s="234" t="s">
        <v>187</v>
      </c>
      <c r="I39" s="234" t="s">
        <v>187</v>
      </c>
      <c r="J39" s="234" t="s">
        <v>187</v>
      </c>
      <c r="K39" s="235" t="s">
        <v>187</v>
      </c>
      <c r="L39" s="235" t="s">
        <v>187</v>
      </c>
      <c r="M39" s="235" t="s">
        <v>187</v>
      </c>
      <c r="N39" s="235" t="s">
        <v>187</v>
      </c>
      <c r="O39" s="145"/>
      <c r="P39" s="145"/>
      <c r="Q39" s="145"/>
      <c r="R39" s="145"/>
      <c r="S39" s="145"/>
      <c r="T39" s="145"/>
    </row>
    <row r="40" ht="13.5" customHeight="1">
      <c r="A40" s="212"/>
      <c r="B40" s="236" t="s">
        <v>188</v>
      </c>
      <c r="C40" s="18"/>
      <c r="D40" s="19"/>
      <c r="E40" s="237"/>
      <c r="F40" s="238">
        <v>46005.0</v>
      </c>
      <c r="G40" s="238">
        <v>46005.0</v>
      </c>
      <c r="H40" s="238">
        <v>46005.0</v>
      </c>
      <c r="I40" s="238">
        <v>46005.0</v>
      </c>
      <c r="J40" s="238">
        <v>46005.0</v>
      </c>
      <c r="K40" s="238">
        <v>46005.0</v>
      </c>
      <c r="L40" s="238">
        <v>46005.0</v>
      </c>
      <c r="M40" s="238">
        <v>46005.0</v>
      </c>
      <c r="N40" s="238">
        <v>46005.0</v>
      </c>
      <c r="O40" s="145"/>
      <c r="P40" s="145"/>
      <c r="Q40" s="145"/>
      <c r="R40" s="145"/>
      <c r="S40" s="145"/>
      <c r="T40" s="145"/>
    </row>
    <row r="41" ht="79.5" customHeight="1">
      <c r="A41" s="239"/>
      <c r="B41" s="240" t="s">
        <v>189</v>
      </c>
      <c r="C41" s="241"/>
      <c r="D41" s="242"/>
      <c r="E41" s="243"/>
      <c r="F41" s="244"/>
      <c r="G41" s="244"/>
      <c r="H41" s="244"/>
      <c r="I41" s="244"/>
      <c r="J41" s="244"/>
      <c r="K41" s="244"/>
      <c r="L41" s="244"/>
      <c r="M41" s="244"/>
      <c r="N41" s="244"/>
      <c r="O41" s="145"/>
      <c r="P41" s="145"/>
      <c r="Q41" s="145"/>
      <c r="R41" s="145"/>
    </row>
    <row r="42" ht="12.0" customHeight="1">
      <c r="A42" s="245"/>
      <c r="B42" s="182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</row>
    <row r="43" ht="13.5" customHeight="1">
      <c r="A43" s="145"/>
      <c r="B43" s="182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</row>
    <row r="44" ht="13.5" customHeight="1">
      <c r="A44" s="145"/>
      <c r="B44" s="182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</row>
    <row r="45" ht="13.5" customHeight="1">
      <c r="A45" s="145"/>
      <c r="B45" s="182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</row>
    <row r="46" ht="13.5" customHeight="1">
      <c r="A46" s="145"/>
      <c r="B46" s="182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</row>
    <row r="47" ht="13.5" customHeight="1">
      <c r="A47" s="145"/>
      <c r="B47" s="182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</row>
    <row r="48" ht="13.5" customHeight="1">
      <c r="A48" s="145"/>
      <c r="B48" s="182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</row>
    <row r="49" ht="13.5" customHeight="1">
      <c r="A49" s="145"/>
      <c r="B49" s="182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</row>
    <row r="50" ht="13.5" customHeight="1">
      <c r="A50" s="145"/>
      <c r="B50" s="182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</row>
    <row r="51" ht="13.5" customHeight="1">
      <c r="A51" s="145"/>
      <c r="B51" s="182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</row>
    <row r="52" ht="13.5" customHeight="1">
      <c r="A52" s="145"/>
      <c r="B52" s="182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</row>
    <row r="53" ht="13.5" customHeight="1">
      <c r="A53" s="145"/>
      <c r="B53" s="182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</row>
    <row r="54" ht="13.5" customHeight="1">
      <c r="A54" s="145"/>
      <c r="B54" s="182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</row>
    <row r="55" ht="13.5" customHeight="1">
      <c r="A55" s="145"/>
      <c r="B55" s="182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</row>
    <row r="56" ht="13.5" customHeight="1">
      <c r="A56" s="145"/>
      <c r="B56" s="182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</row>
    <row r="57" ht="13.5" customHeight="1">
      <c r="A57" s="145"/>
      <c r="B57" s="182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</row>
    <row r="58" ht="13.5" customHeight="1">
      <c r="A58" s="145"/>
      <c r="B58" s="182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</row>
    <row r="59" ht="13.5" customHeight="1">
      <c r="A59" s="145"/>
      <c r="B59" s="182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</row>
    <row r="60" ht="13.5" customHeight="1">
      <c r="A60" s="145"/>
      <c r="B60" s="182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</row>
    <row r="61" ht="13.5" customHeight="1">
      <c r="A61" s="145"/>
      <c r="B61" s="182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</row>
    <row r="62" ht="13.5" customHeight="1">
      <c r="A62" s="145"/>
      <c r="B62" s="182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</row>
    <row r="63" ht="13.5" customHeight="1">
      <c r="A63" s="145"/>
      <c r="B63" s="182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</row>
    <row r="64" ht="13.5" customHeight="1">
      <c r="A64" s="145"/>
      <c r="B64" s="182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</row>
    <row r="65" ht="13.5" customHeight="1">
      <c r="A65" s="145"/>
      <c r="B65" s="182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</row>
    <row r="66" ht="13.5" customHeight="1">
      <c r="A66" s="145"/>
      <c r="B66" s="182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</row>
    <row r="67" ht="13.5" customHeight="1">
      <c r="A67" s="145"/>
      <c r="B67" s="182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</row>
    <row r="68" ht="13.5" customHeight="1">
      <c r="A68" s="145"/>
      <c r="B68" s="182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</row>
    <row r="69" ht="13.5" customHeight="1">
      <c r="A69" s="145"/>
      <c r="B69" s="182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</row>
    <row r="70" ht="13.5" customHeight="1">
      <c r="A70" s="145"/>
      <c r="B70" s="182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</row>
    <row r="71" ht="13.5" customHeight="1">
      <c r="A71" s="145"/>
      <c r="B71" s="182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</row>
    <row r="72" ht="13.5" customHeight="1">
      <c r="A72" s="145"/>
      <c r="B72" s="182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</row>
    <row r="73" ht="13.5" customHeight="1">
      <c r="A73" s="145"/>
      <c r="B73" s="182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</row>
    <row r="74" ht="13.5" customHeight="1">
      <c r="A74" s="145"/>
      <c r="B74" s="182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</row>
    <row r="75" ht="13.5" customHeight="1">
      <c r="A75" s="145"/>
      <c r="B75" s="182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</row>
    <row r="76" ht="13.5" customHeight="1">
      <c r="A76" s="145"/>
      <c r="B76" s="182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</row>
    <row r="77" ht="13.5" customHeight="1">
      <c r="A77" s="145"/>
      <c r="B77" s="182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</row>
    <row r="78" ht="13.5" customHeight="1">
      <c r="A78" s="145"/>
      <c r="B78" s="182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</row>
    <row r="79" ht="13.5" customHeight="1">
      <c r="A79" s="145"/>
      <c r="B79" s="182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</row>
    <row r="80" ht="13.5" customHeight="1">
      <c r="A80" s="145"/>
      <c r="B80" s="182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</row>
    <row r="81" ht="13.5" customHeight="1">
      <c r="A81" s="145"/>
      <c r="B81" s="182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</row>
    <row r="82" ht="13.5" customHeight="1">
      <c r="A82" s="145"/>
      <c r="B82" s="182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</row>
    <row r="83" ht="13.5" customHeight="1">
      <c r="A83" s="145"/>
      <c r="B83" s="182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</row>
    <row r="84" ht="13.5" customHeight="1">
      <c r="A84" s="145"/>
      <c r="B84" s="182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</row>
    <row r="85" ht="13.5" customHeight="1">
      <c r="A85" s="145"/>
      <c r="B85" s="182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</row>
    <row r="86" ht="13.5" customHeight="1">
      <c r="A86" s="145"/>
      <c r="B86" s="182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</row>
    <row r="87" ht="13.5" customHeight="1">
      <c r="A87" s="145"/>
      <c r="B87" s="182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</row>
    <row r="88" ht="13.5" customHeight="1">
      <c r="A88" s="145"/>
      <c r="B88" s="182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</row>
    <row r="89" ht="13.5" customHeight="1">
      <c r="A89" s="145"/>
      <c r="B89" s="182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</row>
    <row r="90" ht="13.5" customHeight="1">
      <c r="A90" s="145"/>
      <c r="B90" s="182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</row>
    <row r="91" ht="13.5" customHeight="1">
      <c r="A91" s="145"/>
      <c r="B91" s="182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</row>
    <row r="92" ht="13.5" customHeight="1">
      <c r="A92" s="145"/>
      <c r="B92" s="182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</row>
    <row r="93" ht="13.5" customHeight="1">
      <c r="A93" s="145"/>
      <c r="B93" s="182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</row>
    <row r="94" ht="13.5" customHeight="1">
      <c r="A94" s="145"/>
      <c r="B94" s="182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</row>
    <row r="95" ht="13.5" customHeight="1">
      <c r="A95" s="145"/>
      <c r="B95" s="182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</row>
    <row r="96" ht="13.5" customHeight="1">
      <c r="A96" s="145"/>
      <c r="B96" s="182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</row>
    <row r="97" ht="13.5" customHeight="1">
      <c r="A97" s="145"/>
      <c r="B97" s="182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</row>
    <row r="98" ht="13.5" customHeight="1">
      <c r="A98" s="145"/>
      <c r="B98" s="182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</row>
    <row r="99" ht="13.5" customHeight="1">
      <c r="A99" s="145"/>
      <c r="B99" s="182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</row>
    <row r="100" ht="13.5" customHeight="1">
      <c r="A100" s="145"/>
      <c r="B100" s="182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</row>
    <row r="101" ht="13.5" customHeight="1">
      <c r="A101" s="145"/>
      <c r="B101" s="182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</row>
    <row r="102" ht="13.5" customHeight="1">
      <c r="A102" s="145"/>
      <c r="B102" s="182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</row>
    <row r="103" ht="13.5" customHeight="1">
      <c r="A103" s="145"/>
      <c r="B103" s="182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</row>
    <row r="104" ht="13.5" customHeight="1">
      <c r="A104" s="145"/>
      <c r="B104" s="182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</row>
    <row r="105" ht="13.5" customHeight="1">
      <c r="A105" s="145"/>
      <c r="B105" s="182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</row>
    <row r="106" ht="13.5" customHeight="1">
      <c r="A106" s="145"/>
      <c r="B106" s="182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</row>
    <row r="107" ht="13.5" customHeight="1">
      <c r="A107" s="145"/>
      <c r="B107" s="182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</row>
    <row r="108" ht="13.5" customHeight="1">
      <c r="A108" s="145"/>
      <c r="B108" s="182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</row>
    <row r="109" ht="13.5" customHeight="1">
      <c r="A109" s="145"/>
      <c r="B109" s="182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</row>
    <row r="110" ht="13.5" customHeight="1">
      <c r="A110" s="145"/>
      <c r="B110" s="182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</row>
    <row r="111" ht="13.5" customHeight="1">
      <c r="A111" s="145"/>
      <c r="B111" s="182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</row>
    <row r="112" ht="13.5" customHeight="1">
      <c r="A112" s="145"/>
      <c r="B112" s="182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</row>
    <row r="113" ht="13.5" customHeight="1">
      <c r="A113" s="145"/>
      <c r="B113" s="182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</row>
    <row r="114" ht="13.5" customHeight="1">
      <c r="A114" s="145"/>
      <c r="B114" s="182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</row>
    <row r="115" ht="13.5" customHeight="1">
      <c r="A115" s="145"/>
      <c r="B115" s="182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</row>
    <row r="116" ht="13.5" customHeight="1">
      <c r="A116" s="145"/>
      <c r="B116" s="182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</row>
    <row r="117" ht="13.5" customHeight="1">
      <c r="A117" s="145"/>
      <c r="B117" s="182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</row>
    <row r="118" ht="13.5" customHeight="1">
      <c r="A118" s="145"/>
      <c r="B118" s="182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</row>
    <row r="119" ht="13.5" customHeight="1">
      <c r="A119" s="145"/>
      <c r="B119" s="182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</row>
    <row r="120" ht="13.5" customHeight="1">
      <c r="A120" s="145"/>
      <c r="B120" s="182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</row>
    <row r="121" ht="13.5" customHeight="1">
      <c r="A121" s="145"/>
      <c r="B121" s="182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</row>
    <row r="122" ht="13.5" customHeight="1">
      <c r="A122" s="145"/>
      <c r="B122" s="182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</row>
    <row r="123" ht="13.5" customHeight="1">
      <c r="A123" s="145"/>
      <c r="B123" s="182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</row>
    <row r="124" ht="13.5" customHeight="1">
      <c r="A124" s="145"/>
      <c r="B124" s="182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</row>
    <row r="125" ht="13.5" customHeight="1">
      <c r="A125" s="145"/>
      <c r="B125" s="182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</row>
    <row r="126" ht="13.5" customHeight="1">
      <c r="A126" s="145"/>
      <c r="B126" s="182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</row>
    <row r="127" ht="13.5" customHeight="1">
      <c r="A127" s="145"/>
      <c r="B127" s="182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</row>
    <row r="128" ht="13.5" customHeight="1">
      <c r="A128" s="145"/>
      <c r="B128" s="182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</row>
    <row r="129" ht="13.5" customHeight="1">
      <c r="A129" s="145"/>
      <c r="B129" s="182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</row>
    <row r="130" ht="13.5" customHeight="1">
      <c r="A130" s="145"/>
      <c r="B130" s="182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</row>
    <row r="131" ht="13.5" customHeight="1">
      <c r="A131" s="145"/>
      <c r="B131" s="182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</row>
    <row r="132" ht="13.5" customHeight="1">
      <c r="A132" s="145"/>
      <c r="B132" s="182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</row>
    <row r="133" ht="13.5" customHeight="1">
      <c r="A133" s="145"/>
      <c r="B133" s="182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</row>
    <row r="134" ht="13.5" customHeight="1">
      <c r="A134" s="145"/>
      <c r="B134" s="182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</row>
    <row r="135" ht="13.5" customHeight="1">
      <c r="A135" s="145"/>
      <c r="B135" s="182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</row>
    <row r="136" ht="13.5" customHeight="1">
      <c r="A136" s="145"/>
      <c r="B136" s="182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</row>
    <row r="137" ht="13.5" customHeight="1">
      <c r="A137" s="145"/>
      <c r="B137" s="182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</row>
    <row r="138" ht="13.5" customHeight="1">
      <c r="A138" s="145"/>
      <c r="B138" s="182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</row>
    <row r="139" ht="13.5" customHeight="1">
      <c r="A139" s="145"/>
      <c r="B139" s="182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</row>
    <row r="140" ht="13.5" customHeight="1">
      <c r="A140" s="145"/>
      <c r="B140" s="182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</row>
    <row r="141" ht="13.5" customHeight="1">
      <c r="A141" s="145"/>
      <c r="B141" s="182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</row>
    <row r="142" ht="13.5" customHeight="1">
      <c r="A142" s="145"/>
      <c r="B142" s="182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</row>
    <row r="143" ht="13.5" customHeight="1">
      <c r="A143" s="145"/>
      <c r="B143" s="182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</row>
    <row r="144" ht="13.5" customHeight="1">
      <c r="A144" s="145"/>
      <c r="B144" s="182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</row>
    <row r="145" ht="13.5" customHeight="1">
      <c r="A145" s="145"/>
      <c r="B145" s="182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</row>
    <row r="146" ht="13.5" customHeight="1">
      <c r="A146" s="145"/>
      <c r="B146" s="182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</row>
    <row r="147" ht="13.5" customHeight="1">
      <c r="A147" s="145"/>
      <c r="B147" s="182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</row>
    <row r="148" ht="13.5" customHeight="1">
      <c r="A148" s="145"/>
      <c r="B148" s="182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</row>
    <row r="149" ht="13.5" customHeight="1">
      <c r="A149" s="145"/>
      <c r="B149" s="182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</row>
    <row r="150" ht="13.5" customHeight="1">
      <c r="A150" s="145"/>
      <c r="B150" s="182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</row>
    <row r="151" ht="13.5" customHeight="1">
      <c r="A151" s="145"/>
      <c r="B151" s="182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</row>
    <row r="152" ht="13.5" customHeight="1">
      <c r="A152" s="145"/>
      <c r="B152" s="182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</row>
    <row r="153" ht="13.5" customHeight="1">
      <c r="A153" s="145"/>
      <c r="B153" s="182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</row>
    <row r="154" ht="13.5" customHeight="1">
      <c r="A154" s="145"/>
      <c r="B154" s="182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</row>
    <row r="155" ht="13.5" customHeight="1">
      <c r="A155" s="145"/>
      <c r="B155" s="182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</row>
    <row r="156" ht="13.5" customHeight="1">
      <c r="A156" s="145"/>
      <c r="B156" s="182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</row>
    <row r="157" ht="13.5" customHeight="1">
      <c r="A157" s="145"/>
      <c r="B157" s="182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</row>
    <row r="158" ht="13.5" customHeight="1">
      <c r="A158" s="145"/>
      <c r="B158" s="182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</row>
    <row r="159" ht="13.5" customHeight="1">
      <c r="A159" s="145"/>
      <c r="B159" s="182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</row>
    <row r="160" ht="13.5" customHeight="1">
      <c r="A160" s="145"/>
      <c r="B160" s="182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</row>
    <row r="161" ht="13.5" customHeight="1">
      <c r="A161" s="145"/>
      <c r="B161" s="182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</row>
    <row r="162" ht="13.5" customHeight="1">
      <c r="A162" s="145"/>
      <c r="B162" s="182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</row>
    <row r="163" ht="13.5" customHeight="1">
      <c r="A163" s="145"/>
      <c r="B163" s="182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</row>
    <row r="164" ht="13.5" customHeight="1">
      <c r="A164" s="145"/>
      <c r="B164" s="182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</row>
    <row r="165" ht="13.5" customHeight="1">
      <c r="A165" s="145"/>
      <c r="B165" s="182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</row>
    <row r="166" ht="13.5" customHeight="1">
      <c r="A166" s="145"/>
      <c r="B166" s="182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</row>
    <row r="167" ht="13.5" customHeight="1">
      <c r="A167" s="145"/>
      <c r="B167" s="182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</row>
    <row r="168" ht="13.5" customHeight="1">
      <c r="A168" s="145"/>
      <c r="B168" s="182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</row>
    <row r="169" ht="13.5" customHeight="1">
      <c r="A169" s="145"/>
      <c r="B169" s="182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</row>
    <row r="170" ht="13.5" customHeight="1">
      <c r="A170" s="145"/>
      <c r="B170" s="182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</row>
    <row r="171" ht="13.5" customHeight="1">
      <c r="A171" s="145"/>
      <c r="B171" s="182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</row>
    <row r="172" ht="13.5" customHeight="1">
      <c r="A172" s="145"/>
      <c r="B172" s="182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</row>
    <row r="173" ht="13.5" customHeight="1">
      <c r="A173" s="145"/>
      <c r="B173" s="182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</row>
    <row r="174" ht="13.5" customHeight="1">
      <c r="A174" s="145"/>
      <c r="B174" s="182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</row>
    <row r="175" ht="13.5" customHeight="1">
      <c r="A175" s="145"/>
      <c r="B175" s="182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</row>
    <row r="176" ht="13.5" customHeight="1">
      <c r="A176" s="145"/>
      <c r="B176" s="182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</row>
    <row r="177" ht="13.5" customHeight="1">
      <c r="A177" s="145"/>
      <c r="B177" s="182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</row>
    <row r="178" ht="13.5" customHeight="1">
      <c r="A178" s="145"/>
      <c r="B178" s="182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</row>
    <row r="179" ht="13.5" customHeight="1">
      <c r="A179" s="145"/>
      <c r="B179" s="182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</row>
    <row r="180" ht="13.5" customHeight="1">
      <c r="A180" s="145"/>
      <c r="B180" s="182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</row>
    <row r="181" ht="13.5" customHeight="1">
      <c r="A181" s="145"/>
      <c r="B181" s="182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</row>
    <row r="182" ht="13.5" customHeight="1">
      <c r="A182" s="145"/>
      <c r="B182" s="182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</row>
    <row r="183" ht="13.5" customHeight="1">
      <c r="A183" s="145"/>
      <c r="B183" s="182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</row>
    <row r="184" ht="13.5" customHeight="1">
      <c r="A184" s="145"/>
      <c r="B184" s="182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</row>
    <row r="185" ht="13.5" customHeight="1">
      <c r="A185" s="145"/>
      <c r="B185" s="182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</row>
    <row r="186" ht="13.5" customHeight="1">
      <c r="A186" s="145"/>
      <c r="B186" s="182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</row>
    <row r="187" ht="13.5" customHeight="1">
      <c r="A187" s="145"/>
      <c r="B187" s="182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</row>
    <row r="188" ht="13.5" customHeight="1">
      <c r="A188" s="145"/>
      <c r="B188" s="182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</row>
    <row r="189" ht="13.5" customHeight="1">
      <c r="A189" s="145"/>
      <c r="B189" s="182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ht="13.5" customHeight="1">
      <c r="A190" s="145"/>
      <c r="B190" s="182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</row>
    <row r="191" ht="13.5" customHeight="1">
      <c r="A191" s="145"/>
      <c r="B191" s="182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</row>
    <row r="192" ht="13.5" customHeight="1">
      <c r="A192" s="145"/>
      <c r="B192" s="182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</row>
    <row r="193" ht="13.5" customHeight="1">
      <c r="A193" s="145"/>
      <c r="B193" s="182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</row>
    <row r="194" ht="13.5" customHeight="1">
      <c r="A194" s="145"/>
      <c r="B194" s="182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</row>
    <row r="195" ht="13.5" customHeight="1">
      <c r="A195" s="145"/>
      <c r="B195" s="182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</row>
    <row r="196" ht="13.5" customHeight="1">
      <c r="A196" s="145"/>
      <c r="B196" s="182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</row>
    <row r="197" ht="13.5" customHeight="1">
      <c r="A197" s="145"/>
      <c r="B197" s="182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</row>
    <row r="198" ht="13.5" customHeight="1">
      <c r="A198" s="145"/>
      <c r="B198" s="182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</row>
    <row r="199" ht="13.5" customHeight="1">
      <c r="A199" s="145"/>
      <c r="B199" s="182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</row>
    <row r="200" ht="13.5" customHeight="1">
      <c r="A200" s="145"/>
      <c r="B200" s="182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</row>
    <row r="201" ht="13.5" customHeight="1">
      <c r="A201" s="145"/>
      <c r="B201" s="182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</row>
    <row r="202" ht="13.5" customHeight="1">
      <c r="A202" s="145"/>
      <c r="B202" s="182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</row>
    <row r="203" ht="13.5" customHeight="1">
      <c r="A203" s="145"/>
      <c r="B203" s="182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</row>
    <row r="204" ht="13.5" customHeight="1">
      <c r="A204" s="145"/>
      <c r="B204" s="182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</row>
    <row r="205" ht="13.5" customHeight="1">
      <c r="A205" s="145"/>
      <c r="B205" s="182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</row>
    <row r="206" ht="13.5" customHeight="1">
      <c r="A206" s="145"/>
      <c r="B206" s="182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</row>
    <row r="207" ht="13.5" customHeight="1">
      <c r="A207" s="145"/>
      <c r="B207" s="182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</row>
    <row r="208" ht="13.5" customHeight="1">
      <c r="A208" s="145"/>
      <c r="B208" s="182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</row>
    <row r="209" ht="13.5" customHeight="1">
      <c r="A209" s="145"/>
      <c r="B209" s="182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</row>
    <row r="210" ht="13.5" customHeight="1">
      <c r="A210" s="145"/>
      <c r="B210" s="182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</row>
    <row r="211" ht="13.5" customHeight="1">
      <c r="A211" s="145"/>
      <c r="B211" s="182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</row>
    <row r="212" ht="13.5" customHeight="1">
      <c r="A212" s="145"/>
      <c r="B212" s="182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</row>
    <row r="213" ht="13.5" customHeight="1">
      <c r="A213" s="145"/>
      <c r="B213" s="182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</row>
    <row r="214" ht="13.5" customHeight="1">
      <c r="A214" s="145"/>
      <c r="B214" s="182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</row>
    <row r="215" ht="13.5" customHeight="1">
      <c r="A215" s="145"/>
      <c r="B215" s="182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</row>
    <row r="216" ht="13.5" customHeight="1">
      <c r="A216" s="145"/>
      <c r="B216" s="182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</row>
    <row r="217" ht="13.5" customHeight="1">
      <c r="A217" s="145"/>
      <c r="B217" s="182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</row>
    <row r="218" ht="13.5" customHeight="1">
      <c r="A218" s="145"/>
      <c r="B218" s="182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</row>
    <row r="219" ht="13.5" customHeight="1">
      <c r="A219" s="145"/>
      <c r="B219" s="182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</row>
    <row r="220" ht="13.5" customHeight="1">
      <c r="A220" s="145"/>
      <c r="B220" s="182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</row>
    <row r="221" ht="13.5" customHeight="1">
      <c r="A221" s="145"/>
      <c r="B221" s="182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</row>
    <row r="222" ht="13.5" customHeight="1">
      <c r="A222" s="145"/>
      <c r="B222" s="182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</row>
    <row r="223" ht="13.5" customHeight="1">
      <c r="A223" s="145"/>
      <c r="B223" s="182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</row>
    <row r="224" ht="13.5" customHeight="1">
      <c r="A224" s="145"/>
      <c r="B224" s="182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</row>
    <row r="225" ht="13.5" customHeight="1">
      <c r="A225" s="145"/>
      <c r="B225" s="182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</row>
    <row r="226" ht="13.5" customHeight="1">
      <c r="A226" s="145"/>
      <c r="B226" s="182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</row>
    <row r="227" ht="13.5" customHeight="1">
      <c r="A227" s="145"/>
      <c r="B227" s="182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</row>
    <row r="228" ht="13.5" customHeight="1">
      <c r="A228" s="145"/>
      <c r="B228" s="182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</row>
    <row r="229" ht="13.5" customHeight="1">
      <c r="A229" s="145"/>
      <c r="B229" s="182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</row>
    <row r="230" ht="13.5" customHeight="1">
      <c r="A230" s="145"/>
      <c r="B230" s="182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</row>
    <row r="231" ht="13.5" customHeight="1">
      <c r="A231" s="145"/>
      <c r="B231" s="182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</row>
    <row r="232" ht="13.5" customHeight="1">
      <c r="A232" s="145"/>
      <c r="B232" s="182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</row>
    <row r="233" ht="13.5" customHeight="1">
      <c r="A233" s="145"/>
      <c r="B233" s="182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</row>
    <row r="234" ht="13.5" customHeight="1">
      <c r="A234" s="145"/>
      <c r="B234" s="182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</row>
    <row r="235" ht="13.5" customHeight="1">
      <c r="A235" s="145"/>
      <c r="B235" s="182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</row>
    <row r="236" ht="13.5" customHeight="1">
      <c r="A236" s="145"/>
      <c r="B236" s="182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</row>
    <row r="237" ht="13.5" customHeight="1">
      <c r="A237" s="145"/>
      <c r="B237" s="182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</row>
    <row r="238" ht="13.5" customHeight="1">
      <c r="A238" s="145"/>
      <c r="B238" s="182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</row>
    <row r="239" ht="13.5" customHeight="1">
      <c r="A239" s="145"/>
      <c r="B239" s="182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</row>
    <row r="240" ht="13.5" customHeight="1">
      <c r="A240" s="145"/>
      <c r="B240" s="182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</row>
    <row r="241" ht="13.5" customHeight="1">
      <c r="A241" s="145"/>
      <c r="B241" s="182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</row>
    <row r="242" ht="13.5" customHeight="1">
      <c r="A242" s="145"/>
      <c r="B242" s="182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</row>
    <row r="243" ht="13.5" customHeight="1">
      <c r="A243" s="145"/>
      <c r="B243" s="182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</row>
    <row r="244" ht="13.5" customHeight="1">
      <c r="A244" s="145"/>
      <c r="B244" s="182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</row>
    <row r="245" ht="13.5" customHeight="1">
      <c r="A245" s="145"/>
      <c r="B245" s="182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</row>
    <row r="246" ht="13.5" customHeight="1">
      <c r="A246" s="145"/>
      <c r="B246" s="182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</row>
    <row r="247" ht="13.5" customHeight="1">
      <c r="A247" s="145"/>
      <c r="B247" s="182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</row>
    <row r="248" ht="13.5" customHeight="1">
      <c r="A248" s="145"/>
      <c r="B248" s="182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</row>
    <row r="249" ht="13.5" customHeight="1">
      <c r="A249" s="145"/>
      <c r="B249" s="182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</row>
    <row r="250" ht="13.5" customHeight="1">
      <c r="A250" s="145"/>
      <c r="B250" s="182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</row>
    <row r="251" ht="13.5" customHeight="1">
      <c r="A251" s="145"/>
      <c r="B251" s="182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</row>
    <row r="252" ht="13.5" customHeight="1">
      <c r="A252" s="145"/>
      <c r="B252" s="182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</row>
    <row r="253" ht="13.5" customHeight="1">
      <c r="A253" s="145"/>
      <c r="B253" s="182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</row>
    <row r="254" ht="13.5" customHeight="1">
      <c r="A254" s="145"/>
      <c r="B254" s="182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</row>
    <row r="255" ht="13.5" customHeight="1">
      <c r="A255" s="145"/>
      <c r="B255" s="182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</row>
    <row r="256" ht="13.5" customHeight="1">
      <c r="A256" s="145"/>
      <c r="B256" s="182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</row>
    <row r="257" ht="13.5" customHeight="1">
      <c r="A257" s="145"/>
      <c r="B257" s="182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</row>
    <row r="258" ht="13.5" customHeight="1">
      <c r="A258" s="145"/>
      <c r="B258" s="182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</row>
    <row r="259" ht="13.5" customHeight="1">
      <c r="A259" s="145"/>
      <c r="B259" s="182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</row>
    <row r="260" ht="13.5" customHeight="1">
      <c r="A260" s="145"/>
      <c r="B260" s="182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</row>
    <row r="261" ht="13.5" customHeight="1">
      <c r="A261" s="145"/>
      <c r="B261" s="182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</row>
    <row r="262" ht="13.5" customHeight="1">
      <c r="A262" s="145"/>
      <c r="B262" s="182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</row>
    <row r="263" ht="13.5" customHeight="1">
      <c r="A263" s="145"/>
      <c r="B263" s="182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</row>
    <row r="264" ht="13.5" customHeight="1">
      <c r="A264" s="145"/>
      <c r="B264" s="182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</row>
    <row r="265" ht="13.5" customHeight="1">
      <c r="A265" s="145"/>
      <c r="B265" s="182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</row>
    <row r="266" ht="13.5" customHeight="1">
      <c r="A266" s="145"/>
      <c r="B266" s="182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</row>
    <row r="267" ht="13.5" customHeight="1">
      <c r="A267" s="145"/>
      <c r="B267" s="182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</row>
    <row r="268" ht="13.5" customHeight="1">
      <c r="A268" s="145"/>
      <c r="B268" s="182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</row>
    <row r="269" ht="13.5" customHeight="1">
      <c r="A269" s="145"/>
      <c r="B269" s="182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</row>
    <row r="270" ht="13.5" customHeight="1">
      <c r="A270" s="145"/>
      <c r="B270" s="182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</row>
    <row r="271" ht="13.5" customHeight="1">
      <c r="A271" s="145"/>
      <c r="B271" s="182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</row>
    <row r="272" ht="13.5" customHeight="1">
      <c r="A272" s="145"/>
      <c r="B272" s="182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</row>
    <row r="273" ht="13.5" customHeight="1">
      <c r="A273" s="145"/>
      <c r="B273" s="182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</row>
    <row r="274" ht="13.5" customHeight="1">
      <c r="A274" s="145"/>
      <c r="B274" s="182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</row>
    <row r="275" ht="13.5" customHeight="1">
      <c r="A275" s="145"/>
      <c r="B275" s="182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</row>
    <row r="276" ht="13.5" customHeight="1">
      <c r="A276" s="145"/>
      <c r="B276" s="182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</row>
    <row r="277" ht="13.5" customHeight="1">
      <c r="A277" s="145"/>
      <c r="B277" s="182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</row>
    <row r="278" ht="13.5" customHeight="1">
      <c r="A278" s="145"/>
      <c r="B278" s="182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</row>
    <row r="279" ht="13.5" customHeight="1">
      <c r="A279" s="145"/>
      <c r="B279" s="182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</row>
    <row r="280" ht="13.5" customHeight="1">
      <c r="A280" s="145"/>
      <c r="B280" s="182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</row>
    <row r="281" ht="13.5" customHeight="1">
      <c r="A281" s="145"/>
      <c r="B281" s="182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</row>
    <row r="282" ht="13.5" customHeight="1">
      <c r="A282" s="145"/>
      <c r="B282" s="182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</row>
    <row r="283" ht="13.5" customHeight="1">
      <c r="A283" s="145"/>
      <c r="B283" s="182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</row>
    <row r="284" ht="13.5" customHeight="1">
      <c r="A284" s="145"/>
      <c r="B284" s="182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</row>
    <row r="285" ht="13.5" customHeight="1">
      <c r="A285" s="145"/>
      <c r="B285" s="182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</row>
    <row r="286" ht="13.5" customHeight="1">
      <c r="A286" s="145"/>
      <c r="B286" s="182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</row>
    <row r="287" ht="13.5" customHeight="1">
      <c r="A287" s="145"/>
      <c r="B287" s="182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</row>
    <row r="288" ht="13.5" customHeight="1">
      <c r="A288" s="145"/>
      <c r="B288" s="182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</row>
    <row r="289" ht="13.5" customHeight="1">
      <c r="A289" s="145"/>
      <c r="B289" s="182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</row>
    <row r="290" ht="13.5" customHeight="1">
      <c r="A290" s="145"/>
      <c r="B290" s="182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</row>
    <row r="291" ht="13.5" customHeight="1">
      <c r="A291" s="145"/>
      <c r="B291" s="182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</row>
    <row r="292" ht="13.5" customHeight="1">
      <c r="A292" s="145"/>
      <c r="B292" s="182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</row>
    <row r="293" ht="13.5" customHeight="1">
      <c r="A293" s="145"/>
      <c r="B293" s="182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</row>
    <row r="294" ht="13.5" customHeight="1">
      <c r="A294" s="145"/>
      <c r="B294" s="182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</row>
    <row r="295" ht="13.5" customHeight="1">
      <c r="A295" s="145"/>
      <c r="B295" s="182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</row>
    <row r="296" ht="13.5" customHeight="1">
      <c r="A296" s="145"/>
      <c r="B296" s="182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</row>
    <row r="297" ht="13.5" customHeight="1">
      <c r="A297" s="145"/>
      <c r="B297" s="182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</row>
    <row r="298" ht="13.5" customHeight="1">
      <c r="A298" s="145"/>
      <c r="B298" s="182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</row>
    <row r="299" ht="13.5" customHeight="1">
      <c r="A299" s="145"/>
      <c r="B299" s="182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</row>
    <row r="300" ht="13.5" customHeight="1">
      <c r="A300" s="145"/>
      <c r="B300" s="182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</row>
    <row r="301" ht="13.5" customHeight="1">
      <c r="A301" s="145"/>
      <c r="B301" s="182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</row>
    <row r="302" ht="13.5" customHeight="1">
      <c r="A302" s="145"/>
      <c r="B302" s="182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</row>
    <row r="303" ht="13.5" customHeight="1">
      <c r="A303" s="145"/>
      <c r="B303" s="182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</row>
    <row r="304" ht="13.5" customHeight="1">
      <c r="A304" s="145"/>
      <c r="B304" s="182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</row>
    <row r="305" ht="13.5" customHeight="1">
      <c r="A305" s="145"/>
      <c r="B305" s="182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</row>
    <row r="306" ht="13.5" customHeight="1">
      <c r="A306" s="145"/>
      <c r="B306" s="182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</row>
    <row r="307" ht="13.5" customHeight="1">
      <c r="A307" s="145"/>
      <c r="B307" s="182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</row>
    <row r="308" ht="13.5" customHeight="1">
      <c r="A308" s="145"/>
      <c r="B308" s="182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</row>
    <row r="309" ht="13.5" customHeight="1">
      <c r="A309" s="145"/>
      <c r="B309" s="182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</row>
    <row r="310" ht="13.5" customHeight="1">
      <c r="A310" s="145"/>
      <c r="B310" s="182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</row>
    <row r="311" ht="13.5" customHeight="1">
      <c r="A311" s="145"/>
      <c r="B311" s="182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</row>
    <row r="312" ht="13.5" customHeight="1">
      <c r="A312" s="145"/>
      <c r="B312" s="182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</row>
    <row r="313" ht="13.5" customHeight="1">
      <c r="A313" s="145"/>
      <c r="B313" s="182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</row>
    <row r="314" ht="13.5" customHeight="1">
      <c r="A314" s="145"/>
      <c r="B314" s="182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</row>
    <row r="315" ht="13.5" customHeight="1">
      <c r="A315" s="145"/>
      <c r="B315" s="182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</row>
    <row r="316" ht="13.5" customHeight="1">
      <c r="A316" s="145"/>
      <c r="B316" s="182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</row>
    <row r="317" ht="13.5" customHeight="1">
      <c r="A317" s="145"/>
      <c r="B317" s="182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</row>
    <row r="318" ht="13.5" customHeight="1">
      <c r="A318" s="145"/>
      <c r="B318" s="182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</row>
    <row r="319" ht="13.5" customHeight="1">
      <c r="A319" s="145"/>
      <c r="B319" s="182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</row>
    <row r="320" ht="13.5" customHeight="1">
      <c r="A320" s="145"/>
      <c r="B320" s="182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</row>
    <row r="321" ht="13.5" customHeight="1">
      <c r="A321" s="145"/>
      <c r="B321" s="182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</row>
    <row r="322" ht="13.5" customHeight="1">
      <c r="A322" s="145"/>
      <c r="B322" s="182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</row>
    <row r="323" ht="13.5" customHeight="1">
      <c r="A323" s="145"/>
      <c r="B323" s="182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</row>
    <row r="324" ht="13.5" customHeight="1">
      <c r="A324" s="145"/>
      <c r="B324" s="182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</row>
    <row r="325" ht="13.5" customHeight="1">
      <c r="A325" s="145"/>
      <c r="B325" s="182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</row>
    <row r="326" ht="13.5" customHeight="1">
      <c r="A326" s="145"/>
      <c r="B326" s="182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</row>
    <row r="327" ht="13.5" customHeight="1">
      <c r="A327" s="145"/>
      <c r="B327" s="182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</row>
    <row r="328" ht="13.5" customHeight="1">
      <c r="A328" s="145"/>
      <c r="B328" s="182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</row>
    <row r="329" ht="13.5" customHeight="1">
      <c r="A329" s="145"/>
      <c r="B329" s="182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</row>
    <row r="330" ht="13.5" customHeight="1">
      <c r="A330" s="145"/>
      <c r="B330" s="182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</row>
    <row r="331" ht="13.5" customHeight="1">
      <c r="A331" s="145"/>
      <c r="B331" s="182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</row>
    <row r="332" ht="13.5" customHeight="1">
      <c r="A332" s="145"/>
      <c r="B332" s="182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</row>
    <row r="333" ht="13.5" customHeight="1">
      <c r="A333" s="145"/>
      <c r="B333" s="182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</row>
    <row r="334" ht="13.5" customHeight="1">
      <c r="A334" s="145"/>
      <c r="B334" s="182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</row>
    <row r="335" ht="13.5" customHeight="1">
      <c r="A335" s="145"/>
      <c r="B335" s="182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</row>
    <row r="336" ht="13.5" customHeight="1">
      <c r="A336" s="145"/>
      <c r="B336" s="182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</row>
    <row r="337" ht="13.5" customHeight="1">
      <c r="A337" s="145"/>
      <c r="B337" s="182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</row>
    <row r="338" ht="13.5" customHeight="1">
      <c r="A338" s="145"/>
      <c r="B338" s="182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</row>
    <row r="339" ht="13.5" customHeight="1">
      <c r="A339" s="145"/>
      <c r="B339" s="182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</row>
    <row r="340" ht="13.5" customHeight="1">
      <c r="A340" s="145"/>
      <c r="B340" s="182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</row>
    <row r="341" ht="13.5" customHeight="1">
      <c r="A341" s="145"/>
      <c r="B341" s="182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</row>
    <row r="342" ht="13.5" customHeight="1">
      <c r="A342" s="145"/>
      <c r="B342" s="182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</row>
    <row r="343" ht="13.5" customHeight="1">
      <c r="A343" s="145"/>
      <c r="B343" s="182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</row>
    <row r="344" ht="13.5" customHeight="1">
      <c r="A344" s="145"/>
      <c r="B344" s="182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</row>
    <row r="345" ht="13.5" customHeight="1">
      <c r="A345" s="145"/>
      <c r="B345" s="182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</row>
    <row r="346" ht="13.5" customHeight="1">
      <c r="A346" s="145"/>
      <c r="B346" s="182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</row>
    <row r="347" ht="13.5" customHeight="1">
      <c r="A347" s="145"/>
      <c r="B347" s="182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</row>
    <row r="348" ht="13.5" customHeight="1">
      <c r="A348" s="145"/>
      <c r="B348" s="182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</row>
    <row r="349" ht="13.5" customHeight="1">
      <c r="A349" s="145"/>
      <c r="B349" s="182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</row>
    <row r="350" ht="13.5" customHeight="1">
      <c r="A350" s="145"/>
      <c r="B350" s="182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</row>
    <row r="351" ht="13.5" customHeight="1">
      <c r="A351" s="145"/>
      <c r="B351" s="182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</row>
    <row r="352" ht="13.5" customHeight="1">
      <c r="A352" s="145"/>
      <c r="B352" s="182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</row>
    <row r="353" ht="13.5" customHeight="1">
      <c r="A353" s="145"/>
      <c r="B353" s="182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</row>
    <row r="354" ht="13.5" customHeight="1">
      <c r="A354" s="145"/>
      <c r="B354" s="182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</row>
    <row r="355" ht="13.5" customHeight="1">
      <c r="A355" s="145"/>
      <c r="B355" s="182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</row>
    <row r="356" ht="13.5" customHeight="1">
      <c r="A356" s="145"/>
      <c r="B356" s="182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</row>
    <row r="357" ht="13.5" customHeight="1">
      <c r="A357" s="145"/>
      <c r="B357" s="182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</row>
    <row r="358" ht="13.5" customHeight="1">
      <c r="A358" s="145"/>
      <c r="B358" s="182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</row>
    <row r="359" ht="13.5" customHeight="1">
      <c r="A359" s="145"/>
      <c r="B359" s="182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</row>
    <row r="360" ht="13.5" customHeight="1">
      <c r="A360" s="145"/>
      <c r="B360" s="182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</row>
    <row r="361" ht="13.5" customHeight="1">
      <c r="A361" s="145"/>
      <c r="B361" s="182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</row>
    <row r="362" ht="13.5" customHeight="1">
      <c r="A362" s="145"/>
      <c r="B362" s="182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</row>
    <row r="363" ht="13.5" customHeight="1">
      <c r="A363" s="145"/>
      <c r="B363" s="182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</row>
    <row r="364" ht="13.5" customHeight="1">
      <c r="A364" s="145"/>
      <c r="B364" s="182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</row>
    <row r="365" ht="13.5" customHeight="1">
      <c r="A365" s="145"/>
      <c r="B365" s="182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</row>
    <row r="366" ht="13.5" customHeight="1">
      <c r="A366" s="145"/>
      <c r="B366" s="182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</row>
    <row r="367" ht="13.5" customHeight="1">
      <c r="A367" s="145"/>
      <c r="B367" s="182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</row>
    <row r="368" ht="13.5" customHeight="1">
      <c r="A368" s="145"/>
      <c r="B368" s="182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</row>
    <row r="369" ht="13.5" customHeight="1">
      <c r="A369" s="145"/>
      <c r="B369" s="182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</row>
    <row r="370" ht="13.5" customHeight="1">
      <c r="A370" s="145"/>
      <c r="B370" s="182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</row>
    <row r="371" ht="13.5" customHeight="1">
      <c r="A371" s="145"/>
      <c r="B371" s="182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</row>
    <row r="372" ht="13.5" customHeight="1">
      <c r="A372" s="145"/>
      <c r="B372" s="182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</row>
    <row r="373" ht="13.5" customHeight="1">
      <c r="A373" s="145"/>
      <c r="B373" s="182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</row>
    <row r="374" ht="13.5" customHeight="1">
      <c r="A374" s="145"/>
      <c r="B374" s="182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</row>
    <row r="375" ht="13.5" customHeight="1">
      <c r="A375" s="145"/>
      <c r="B375" s="182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</row>
    <row r="376" ht="13.5" customHeight="1">
      <c r="A376" s="145"/>
      <c r="B376" s="182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</row>
    <row r="377" ht="13.5" customHeight="1">
      <c r="A377" s="145"/>
      <c r="B377" s="182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</row>
    <row r="378" ht="13.5" customHeight="1">
      <c r="A378" s="145"/>
      <c r="B378" s="182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</row>
    <row r="379" ht="13.5" customHeight="1">
      <c r="A379" s="145"/>
      <c r="B379" s="182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</row>
    <row r="380" ht="13.5" customHeight="1">
      <c r="A380" s="145"/>
      <c r="B380" s="182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</row>
    <row r="381" ht="13.5" customHeight="1">
      <c r="A381" s="145"/>
      <c r="B381" s="182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</row>
    <row r="382" ht="13.5" customHeight="1">
      <c r="A382" s="145"/>
      <c r="B382" s="182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</row>
    <row r="383" ht="13.5" customHeight="1">
      <c r="A383" s="145"/>
      <c r="B383" s="182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</row>
    <row r="384" ht="13.5" customHeight="1">
      <c r="A384" s="145"/>
      <c r="B384" s="182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</row>
    <row r="385" ht="13.5" customHeight="1">
      <c r="A385" s="145"/>
      <c r="B385" s="182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</row>
    <row r="386" ht="13.5" customHeight="1">
      <c r="A386" s="145"/>
      <c r="B386" s="182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</row>
    <row r="387" ht="13.5" customHeight="1">
      <c r="A387" s="145"/>
      <c r="B387" s="182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</row>
    <row r="388" ht="13.5" customHeight="1">
      <c r="A388" s="145"/>
      <c r="B388" s="182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</row>
    <row r="389" ht="13.5" customHeight="1">
      <c r="A389" s="145"/>
      <c r="B389" s="182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</row>
    <row r="390" ht="13.5" customHeight="1">
      <c r="A390" s="145"/>
      <c r="B390" s="182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</row>
    <row r="391" ht="13.5" customHeight="1">
      <c r="A391" s="145"/>
      <c r="B391" s="182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</row>
    <row r="392" ht="13.5" customHeight="1">
      <c r="A392" s="145"/>
      <c r="B392" s="182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</row>
    <row r="393" ht="13.5" customHeight="1">
      <c r="A393" s="145"/>
      <c r="B393" s="182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</row>
    <row r="394" ht="13.5" customHeight="1">
      <c r="A394" s="145"/>
      <c r="B394" s="182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</row>
    <row r="395" ht="13.5" customHeight="1">
      <c r="A395" s="145"/>
      <c r="B395" s="182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</row>
    <row r="396" ht="13.5" customHeight="1">
      <c r="A396" s="145"/>
      <c r="B396" s="182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</row>
    <row r="397" ht="13.5" customHeight="1">
      <c r="A397" s="145"/>
      <c r="B397" s="182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</row>
    <row r="398" ht="13.5" customHeight="1">
      <c r="A398" s="145"/>
      <c r="B398" s="182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</row>
    <row r="399" ht="13.5" customHeight="1">
      <c r="A399" s="145"/>
      <c r="B399" s="182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</row>
    <row r="400" ht="13.5" customHeight="1">
      <c r="A400" s="145"/>
      <c r="B400" s="182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</row>
    <row r="401" ht="13.5" customHeight="1">
      <c r="A401" s="145"/>
      <c r="B401" s="182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</row>
    <row r="402" ht="13.5" customHeight="1">
      <c r="A402" s="145"/>
      <c r="B402" s="182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</row>
    <row r="403" ht="13.5" customHeight="1">
      <c r="A403" s="145"/>
      <c r="B403" s="182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</row>
    <row r="404" ht="13.5" customHeight="1">
      <c r="A404" s="145"/>
      <c r="B404" s="182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</row>
    <row r="405" ht="13.5" customHeight="1">
      <c r="A405" s="145"/>
      <c r="B405" s="182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</row>
    <row r="406" ht="13.5" customHeight="1">
      <c r="A406" s="145"/>
      <c r="B406" s="182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</row>
    <row r="407" ht="13.5" customHeight="1">
      <c r="A407" s="145"/>
      <c r="B407" s="182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</row>
    <row r="408" ht="13.5" customHeight="1">
      <c r="A408" s="145"/>
      <c r="B408" s="182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</row>
    <row r="409" ht="13.5" customHeight="1">
      <c r="A409" s="145"/>
      <c r="B409" s="182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</row>
    <row r="410" ht="13.5" customHeight="1">
      <c r="A410" s="145"/>
      <c r="B410" s="182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</row>
    <row r="411" ht="13.5" customHeight="1">
      <c r="A411" s="145"/>
      <c r="B411" s="182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</row>
    <row r="412" ht="13.5" customHeight="1">
      <c r="A412" s="145"/>
      <c r="B412" s="182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</row>
    <row r="413" ht="13.5" customHeight="1">
      <c r="A413" s="145"/>
      <c r="B413" s="182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</row>
    <row r="414" ht="13.5" customHeight="1">
      <c r="A414" s="145"/>
      <c r="B414" s="182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</row>
    <row r="415" ht="13.5" customHeight="1">
      <c r="A415" s="145"/>
      <c r="B415" s="182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</row>
    <row r="416" ht="13.5" customHeight="1">
      <c r="A416" s="145"/>
      <c r="B416" s="182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</row>
    <row r="417" ht="13.5" customHeight="1">
      <c r="A417" s="145"/>
      <c r="B417" s="182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</row>
    <row r="418" ht="13.5" customHeight="1">
      <c r="A418" s="145"/>
      <c r="B418" s="182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</row>
    <row r="419" ht="13.5" customHeight="1">
      <c r="A419" s="145"/>
      <c r="B419" s="182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</row>
    <row r="420" ht="13.5" customHeight="1">
      <c r="A420" s="145"/>
      <c r="B420" s="182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</row>
    <row r="421" ht="13.5" customHeight="1">
      <c r="A421" s="145"/>
      <c r="B421" s="182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</row>
    <row r="422" ht="13.5" customHeight="1">
      <c r="A422" s="145"/>
      <c r="B422" s="182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</row>
    <row r="423" ht="13.5" customHeight="1">
      <c r="A423" s="145"/>
      <c r="B423" s="182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</row>
    <row r="424" ht="13.5" customHeight="1">
      <c r="A424" s="145"/>
      <c r="B424" s="182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</row>
    <row r="425" ht="13.5" customHeight="1">
      <c r="A425" s="145"/>
      <c r="B425" s="182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</row>
    <row r="426" ht="13.5" customHeight="1">
      <c r="A426" s="145"/>
      <c r="B426" s="182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</row>
    <row r="427" ht="13.5" customHeight="1">
      <c r="A427" s="145"/>
      <c r="B427" s="182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</row>
    <row r="428" ht="13.5" customHeight="1">
      <c r="A428" s="145"/>
      <c r="B428" s="182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</row>
    <row r="429" ht="13.5" customHeight="1">
      <c r="A429" s="145"/>
      <c r="B429" s="182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</row>
    <row r="430" ht="13.5" customHeight="1">
      <c r="A430" s="145"/>
      <c r="B430" s="182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</row>
    <row r="431" ht="13.5" customHeight="1">
      <c r="A431" s="145"/>
      <c r="B431" s="182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</row>
    <row r="432" ht="13.5" customHeight="1">
      <c r="A432" s="145"/>
      <c r="B432" s="182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</row>
    <row r="433" ht="13.5" customHeight="1">
      <c r="A433" s="145"/>
      <c r="B433" s="182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</row>
    <row r="434" ht="13.5" customHeight="1">
      <c r="A434" s="145"/>
      <c r="B434" s="182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</row>
    <row r="435" ht="13.5" customHeight="1">
      <c r="A435" s="145"/>
      <c r="B435" s="182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</row>
    <row r="436" ht="13.5" customHeight="1">
      <c r="A436" s="145"/>
      <c r="B436" s="182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</row>
    <row r="437" ht="13.5" customHeight="1">
      <c r="A437" s="145"/>
      <c r="B437" s="182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</row>
    <row r="438" ht="13.5" customHeight="1">
      <c r="A438" s="145"/>
      <c r="B438" s="182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</row>
    <row r="439" ht="13.5" customHeight="1">
      <c r="A439" s="145"/>
      <c r="B439" s="182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</row>
    <row r="440" ht="13.5" customHeight="1">
      <c r="A440" s="145"/>
      <c r="B440" s="182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</row>
    <row r="441" ht="13.5" customHeight="1">
      <c r="A441" s="145"/>
      <c r="B441" s="182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</row>
    <row r="442" ht="13.5" customHeight="1">
      <c r="A442" s="145"/>
      <c r="B442" s="182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</row>
    <row r="443" ht="13.5" customHeight="1">
      <c r="A443" s="145"/>
      <c r="B443" s="182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</row>
    <row r="444" ht="13.5" customHeight="1">
      <c r="A444" s="145"/>
      <c r="B444" s="182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</row>
    <row r="445" ht="13.5" customHeight="1">
      <c r="A445" s="145"/>
      <c r="B445" s="182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</row>
    <row r="446" ht="13.5" customHeight="1">
      <c r="A446" s="145"/>
      <c r="B446" s="182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</row>
    <row r="447" ht="13.5" customHeight="1">
      <c r="A447" s="145"/>
      <c r="B447" s="182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</row>
    <row r="448" ht="13.5" customHeight="1">
      <c r="A448" s="145"/>
      <c r="B448" s="182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</row>
    <row r="449" ht="13.5" customHeight="1">
      <c r="A449" s="145"/>
      <c r="B449" s="182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</row>
    <row r="450" ht="13.5" customHeight="1">
      <c r="A450" s="145"/>
      <c r="B450" s="182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</row>
    <row r="451" ht="13.5" customHeight="1">
      <c r="A451" s="145"/>
      <c r="B451" s="182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</row>
    <row r="452" ht="13.5" customHeight="1">
      <c r="A452" s="145"/>
      <c r="B452" s="182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</row>
    <row r="453" ht="13.5" customHeight="1">
      <c r="A453" s="145"/>
      <c r="B453" s="182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</row>
    <row r="454" ht="13.5" customHeight="1">
      <c r="A454" s="145"/>
      <c r="B454" s="182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</row>
    <row r="455" ht="13.5" customHeight="1">
      <c r="A455" s="145"/>
      <c r="B455" s="182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</row>
    <row r="456" ht="13.5" customHeight="1">
      <c r="A456" s="145"/>
      <c r="B456" s="182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</row>
    <row r="457" ht="13.5" customHeight="1">
      <c r="A457" s="145"/>
      <c r="B457" s="182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</row>
    <row r="458" ht="13.5" customHeight="1">
      <c r="A458" s="145"/>
      <c r="B458" s="182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</row>
    <row r="459" ht="13.5" customHeight="1">
      <c r="A459" s="145"/>
      <c r="B459" s="182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</row>
    <row r="460" ht="13.5" customHeight="1">
      <c r="A460" s="145"/>
      <c r="B460" s="182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</row>
    <row r="461" ht="13.5" customHeight="1">
      <c r="A461" s="145"/>
      <c r="B461" s="182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</row>
    <row r="462" ht="13.5" customHeight="1">
      <c r="A462" s="145"/>
      <c r="B462" s="182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</row>
    <row r="463" ht="13.5" customHeight="1">
      <c r="A463" s="145"/>
      <c r="B463" s="182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</row>
    <row r="464" ht="13.5" customHeight="1">
      <c r="A464" s="145"/>
      <c r="B464" s="182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</row>
    <row r="465" ht="13.5" customHeight="1">
      <c r="A465" s="145"/>
      <c r="B465" s="182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</row>
    <row r="466" ht="13.5" customHeight="1">
      <c r="A466" s="145"/>
      <c r="B466" s="182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</row>
    <row r="467" ht="13.5" customHeight="1">
      <c r="A467" s="145"/>
      <c r="B467" s="182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</row>
    <row r="468" ht="13.5" customHeight="1">
      <c r="A468" s="145"/>
      <c r="B468" s="182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</row>
    <row r="469" ht="13.5" customHeight="1">
      <c r="A469" s="145"/>
      <c r="B469" s="182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</row>
    <row r="470" ht="13.5" customHeight="1">
      <c r="A470" s="145"/>
      <c r="B470" s="182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</row>
    <row r="471" ht="13.5" customHeight="1">
      <c r="A471" s="145"/>
      <c r="B471" s="182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</row>
    <row r="472" ht="13.5" customHeight="1">
      <c r="A472" s="145"/>
      <c r="B472" s="182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</row>
    <row r="473" ht="13.5" customHeight="1">
      <c r="A473" s="145"/>
      <c r="B473" s="182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</row>
    <row r="474" ht="13.5" customHeight="1">
      <c r="A474" s="145"/>
      <c r="B474" s="182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</row>
    <row r="475" ht="13.5" customHeight="1">
      <c r="A475" s="145"/>
      <c r="B475" s="182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</row>
    <row r="476" ht="13.5" customHeight="1">
      <c r="A476" s="145"/>
      <c r="B476" s="182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</row>
    <row r="477" ht="13.5" customHeight="1">
      <c r="A477" s="145"/>
      <c r="B477" s="182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</row>
    <row r="478" ht="13.5" customHeight="1">
      <c r="A478" s="145"/>
      <c r="B478" s="182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</row>
    <row r="479" ht="13.5" customHeight="1">
      <c r="A479" s="145"/>
      <c r="B479" s="182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</row>
    <row r="480" ht="13.5" customHeight="1">
      <c r="A480" s="145"/>
      <c r="B480" s="182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</row>
    <row r="481" ht="13.5" customHeight="1">
      <c r="A481" s="145"/>
      <c r="B481" s="182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</row>
    <row r="482" ht="13.5" customHeight="1">
      <c r="A482" s="145"/>
      <c r="B482" s="182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</row>
    <row r="483" ht="13.5" customHeight="1">
      <c r="A483" s="145"/>
      <c r="B483" s="182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</row>
    <row r="484" ht="13.5" customHeight="1">
      <c r="A484" s="145"/>
      <c r="B484" s="182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</row>
    <row r="485" ht="13.5" customHeight="1">
      <c r="A485" s="145"/>
      <c r="B485" s="182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</row>
    <row r="486" ht="13.5" customHeight="1">
      <c r="A486" s="145"/>
      <c r="B486" s="182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</row>
    <row r="487" ht="13.5" customHeight="1">
      <c r="A487" s="145"/>
      <c r="B487" s="182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</row>
    <row r="488" ht="13.5" customHeight="1">
      <c r="A488" s="145"/>
      <c r="B488" s="182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</row>
    <row r="489" ht="13.5" customHeight="1">
      <c r="A489" s="145"/>
      <c r="B489" s="182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</row>
    <row r="490" ht="13.5" customHeight="1">
      <c r="A490" s="145"/>
      <c r="B490" s="182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</row>
    <row r="491" ht="13.5" customHeight="1">
      <c r="A491" s="145"/>
      <c r="B491" s="182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</row>
    <row r="492" ht="13.5" customHeight="1">
      <c r="A492" s="145"/>
      <c r="B492" s="182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</row>
    <row r="493" ht="13.5" customHeight="1">
      <c r="A493" s="145"/>
      <c r="B493" s="182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</row>
    <row r="494" ht="13.5" customHeight="1">
      <c r="A494" s="145"/>
      <c r="B494" s="182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</row>
    <row r="495" ht="13.5" customHeight="1">
      <c r="A495" s="145"/>
      <c r="B495" s="182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</row>
    <row r="496" ht="13.5" customHeight="1">
      <c r="A496" s="145"/>
      <c r="B496" s="182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</row>
    <row r="497" ht="13.5" customHeight="1">
      <c r="A497" s="145"/>
      <c r="B497" s="182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</row>
    <row r="498" ht="13.5" customHeight="1">
      <c r="A498" s="145"/>
      <c r="B498" s="182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</row>
    <row r="499" ht="13.5" customHeight="1">
      <c r="A499" s="145"/>
      <c r="B499" s="182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</row>
    <row r="500" ht="13.5" customHeight="1">
      <c r="A500" s="145"/>
      <c r="B500" s="182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</row>
    <row r="501" ht="13.5" customHeight="1">
      <c r="A501" s="145"/>
      <c r="B501" s="182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</row>
    <row r="502" ht="13.5" customHeight="1">
      <c r="A502" s="145"/>
      <c r="B502" s="182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</row>
    <row r="503" ht="13.5" customHeight="1">
      <c r="A503" s="145"/>
      <c r="B503" s="182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</row>
    <row r="504" ht="13.5" customHeight="1">
      <c r="A504" s="145"/>
      <c r="B504" s="182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</row>
    <row r="505" ht="13.5" customHeight="1">
      <c r="A505" s="145"/>
      <c r="B505" s="182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</row>
    <row r="506" ht="13.5" customHeight="1">
      <c r="A506" s="145"/>
      <c r="B506" s="182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</row>
    <row r="507" ht="13.5" customHeight="1">
      <c r="A507" s="145"/>
      <c r="B507" s="182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</row>
    <row r="508" ht="13.5" customHeight="1">
      <c r="A508" s="145"/>
      <c r="B508" s="182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</row>
    <row r="509" ht="13.5" customHeight="1">
      <c r="A509" s="145"/>
      <c r="B509" s="182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</row>
    <row r="510" ht="13.5" customHeight="1">
      <c r="A510" s="145"/>
      <c r="B510" s="182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</row>
    <row r="511" ht="13.5" customHeight="1">
      <c r="A511" s="145"/>
      <c r="B511" s="182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</row>
    <row r="512" ht="13.5" customHeight="1">
      <c r="A512" s="145"/>
      <c r="B512" s="182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</row>
    <row r="513" ht="13.5" customHeight="1">
      <c r="A513" s="145"/>
      <c r="B513" s="182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</row>
    <row r="514" ht="13.5" customHeight="1">
      <c r="A514" s="145"/>
      <c r="B514" s="182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</row>
    <row r="515" ht="13.5" customHeight="1">
      <c r="A515" s="145"/>
      <c r="B515" s="182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</row>
    <row r="516" ht="13.5" customHeight="1">
      <c r="A516" s="145"/>
      <c r="B516" s="182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</row>
    <row r="517" ht="13.5" customHeight="1">
      <c r="A517" s="145"/>
      <c r="B517" s="182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</row>
    <row r="518" ht="13.5" customHeight="1">
      <c r="A518" s="145"/>
      <c r="B518" s="182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</row>
    <row r="519" ht="13.5" customHeight="1">
      <c r="A519" s="145"/>
      <c r="B519" s="182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</row>
    <row r="520" ht="13.5" customHeight="1">
      <c r="A520" s="145"/>
      <c r="B520" s="182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</row>
    <row r="521" ht="13.5" customHeight="1">
      <c r="A521" s="145"/>
      <c r="B521" s="182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</row>
    <row r="522" ht="13.5" customHeight="1">
      <c r="A522" s="145"/>
      <c r="B522" s="182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</row>
    <row r="523" ht="13.5" customHeight="1">
      <c r="A523" s="145"/>
      <c r="B523" s="182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</row>
    <row r="524" ht="13.5" customHeight="1">
      <c r="A524" s="145"/>
      <c r="B524" s="182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</row>
    <row r="525" ht="13.5" customHeight="1">
      <c r="A525" s="145"/>
      <c r="B525" s="182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</row>
    <row r="526" ht="13.5" customHeight="1">
      <c r="A526" s="145"/>
      <c r="B526" s="182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</row>
    <row r="527" ht="13.5" customHeight="1">
      <c r="A527" s="145"/>
      <c r="B527" s="182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</row>
    <row r="528" ht="13.5" customHeight="1">
      <c r="A528" s="145"/>
      <c r="B528" s="182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</row>
    <row r="529" ht="13.5" customHeight="1">
      <c r="A529" s="145"/>
      <c r="B529" s="182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</row>
    <row r="530" ht="13.5" customHeight="1">
      <c r="A530" s="145"/>
      <c r="B530" s="182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</row>
    <row r="531" ht="13.5" customHeight="1">
      <c r="A531" s="145"/>
      <c r="B531" s="182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</row>
    <row r="532" ht="13.5" customHeight="1">
      <c r="A532" s="145"/>
      <c r="B532" s="182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</row>
    <row r="533" ht="13.5" customHeight="1">
      <c r="A533" s="145"/>
      <c r="B533" s="182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</row>
    <row r="534" ht="13.5" customHeight="1">
      <c r="A534" s="145"/>
      <c r="B534" s="182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</row>
    <row r="535" ht="13.5" customHeight="1">
      <c r="A535" s="145"/>
      <c r="B535" s="182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</row>
    <row r="536" ht="13.5" customHeight="1">
      <c r="A536" s="145"/>
      <c r="B536" s="182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</row>
    <row r="537" ht="13.5" customHeight="1">
      <c r="A537" s="145"/>
      <c r="B537" s="182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</row>
    <row r="538" ht="13.5" customHeight="1">
      <c r="A538" s="145"/>
      <c r="B538" s="182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</row>
    <row r="539" ht="13.5" customHeight="1">
      <c r="A539" s="145"/>
      <c r="B539" s="182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</row>
    <row r="540" ht="13.5" customHeight="1">
      <c r="A540" s="145"/>
      <c r="B540" s="182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</row>
    <row r="541" ht="13.5" customHeight="1">
      <c r="A541" s="145"/>
      <c r="B541" s="182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</row>
    <row r="542" ht="13.5" customHeight="1">
      <c r="A542" s="145"/>
      <c r="B542" s="182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</row>
    <row r="543" ht="13.5" customHeight="1">
      <c r="A543" s="145"/>
      <c r="B543" s="182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</row>
    <row r="544" ht="13.5" customHeight="1">
      <c r="A544" s="145"/>
      <c r="B544" s="182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</row>
    <row r="545" ht="13.5" customHeight="1">
      <c r="A545" s="145"/>
      <c r="B545" s="182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</row>
    <row r="546" ht="13.5" customHeight="1">
      <c r="A546" s="145"/>
      <c r="B546" s="182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</row>
    <row r="547" ht="13.5" customHeight="1">
      <c r="A547" s="145"/>
      <c r="B547" s="182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</row>
    <row r="548" ht="13.5" customHeight="1">
      <c r="A548" s="145"/>
      <c r="B548" s="182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</row>
    <row r="549" ht="13.5" customHeight="1">
      <c r="A549" s="145"/>
      <c r="B549" s="182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</row>
    <row r="550" ht="13.5" customHeight="1">
      <c r="A550" s="145"/>
      <c r="B550" s="182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</row>
    <row r="551" ht="13.5" customHeight="1">
      <c r="A551" s="145"/>
      <c r="B551" s="182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</row>
    <row r="552" ht="13.5" customHeight="1">
      <c r="A552" s="145"/>
      <c r="B552" s="182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</row>
    <row r="553" ht="13.5" customHeight="1">
      <c r="A553" s="145"/>
      <c r="B553" s="182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</row>
    <row r="554" ht="13.5" customHeight="1">
      <c r="A554" s="145"/>
      <c r="B554" s="182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</row>
    <row r="555" ht="13.5" customHeight="1">
      <c r="A555" s="145"/>
      <c r="B555" s="182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</row>
    <row r="556" ht="13.5" customHeight="1">
      <c r="A556" s="145"/>
      <c r="B556" s="182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</row>
    <row r="557" ht="13.5" customHeight="1">
      <c r="A557" s="145"/>
      <c r="B557" s="182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</row>
    <row r="558" ht="13.5" customHeight="1">
      <c r="A558" s="145"/>
      <c r="B558" s="182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</row>
    <row r="559" ht="13.5" customHeight="1">
      <c r="A559" s="145"/>
      <c r="B559" s="182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</row>
    <row r="560" ht="13.5" customHeight="1">
      <c r="A560" s="145"/>
      <c r="B560" s="182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</row>
    <row r="561" ht="13.5" customHeight="1">
      <c r="A561" s="145"/>
      <c r="B561" s="182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</row>
    <row r="562" ht="13.5" customHeight="1">
      <c r="A562" s="145"/>
      <c r="B562" s="182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</row>
    <row r="563" ht="13.5" customHeight="1">
      <c r="A563" s="145"/>
      <c r="B563" s="182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</row>
    <row r="564" ht="13.5" customHeight="1">
      <c r="A564" s="145"/>
      <c r="B564" s="182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</row>
    <row r="565" ht="13.5" customHeight="1">
      <c r="A565" s="145"/>
      <c r="B565" s="182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</row>
    <row r="566" ht="13.5" customHeight="1">
      <c r="A566" s="145"/>
      <c r="B566" s="182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</row>
    <row r="567" ht="13.5" customHeight="1">
      <c r="A567" s="145"/>
      <c r="B567" s="182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</row>
    <row r="568" ht="13.5" customHeight="1">
      <c r="A568" s="145"/>
      <c r="B568" s="182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</row>
    <row r="569" ht="13.5" customHeight="1">
      <c r="A569" s="145"/>
      <c r="B569" s="182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</row>
    <row r="570" ht="13.5" customHeight="1">
      <c r="A570" s="145"/>
      <c r="B570" s="182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</row>
    <row r="571" ht="13.5" customHeight="1">
      <c r="A571" s="145"/>
      <c r="B571" s="182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</row>
    <row r="572" ht="13.5" customHeight="1">
      <c r="A572" s="145"/>
      <c r="B572" s="182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</row>
    <row r="573" ht="13.5" customHeight="1">
      <c r="A573" s="145"/>
      <c r="B573" s="182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</row>
    <row r="574" ht="13.5" customHeight="1">
      <c r="A574" s="145"/>
      <c r="B574" s="182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</row>
    <row r="575" ht="13.5" customHeight="1">
      <c r="A575" s="145"/>
      <c r="B575" s="182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</row>
    <row r="576" ht="13.5" customHeight="1">
      <c r="A576" s="145"/>
      <c r="B576" s="182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</row>
    <row r="577" ht="13.5" customHeight="1">
      <c r="A577" s="145"/>
      <c r="B577" s="182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</row>
    <row r="578" ht="13.5" customHeight="1">
      <c r="A578" s="145"/>
      <c r="B578" s="182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</row>
    <row r="579" ht="13.5" customHeight="1">
      <c r="A579" s="145"/>
      <c r="B579" s="182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</row>
    <row r="580" ht="13.5" customHeight="1">
      <c r="A580" s="145"/>
      <c r="B580" s="182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</row>
    <row r="581" ht="13.5" customHeight="1">
      <c r="A581" s="145"/>
      <c r="B581" s="182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</row>
    <row r="582" ht="13.5" customHeight="1">
      <c r="A582" s="145"/>
      <c r="B582" s="182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</row>
    <row r="583" ht="13.5" customHeight="1">
      <c r="A583" s="145"/>
      <c r="B583" s="182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</row>
    <row r="584" ht="13.5" customHeight="1">
      <c r="A584" s="145"/>
      <c r="B584" s="182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</row>
    <row r="585" ht="13.5" customHeight="1">
      <c r="A585" s="145"/>
      <c r="B585" s="182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</row>
    <row r="586" ht="13.5" customHeight="1">
      <c r="A586" s="145"/>
      <c r="B586" s="182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</row>
    <row r="587" ht="13.5" customHeight="1">
      <c r="A587" s="145"/>
      <c r="B587" s="182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</row>
    <row r="588" ht="13.5" customHeight="1">
      <c r="A588" s="145"/>
      <c r="B588" s="182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</row>
    <row r="589" ht="13.5" customHeight="1">
      <c r="A589" s="145"/>
      <c r="B589" s="182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</row>
    <row r="590" ht="13.5" customHeight="1">
      <c r="A590" s="145"/>
      <c r="B590" s="182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</row>
    <row r="591" ht="13.5" customHeight="1">
      <c r="A591" s="145"/>
      <c r="B591" s="182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</row>
    <row r="592" ht="13.5" customHeight="1">
      <c r="A592" s="145"/>
      <c r="B592" s="182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</row>
    <row r="593" ht="13.5" customHeight="1">
      <c r="A593" s="145"/>
      <c r="B593" s="182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</row>
    <row r="594" ht="13.5" customHeight="1">
      <c r="A594" s="145"/>
      <c r="B594" s="182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</row>
    <row r="595" ht="13.5" customHeight="1">
      <c r="A595" s="145"/>
      <c r="B595" s="182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</row>
    <row r="596" ht="13.5" customHeight="1">
      <c r="A596" s="145"/>
      <c r="B596" s="182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</row>
    <row r="597" ht="13.5" customHeight="1">
      <c r="A597" s="145"/>
      <c r="B597" s="182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</row>
    <row r="598" ht="13.5" customHeight="1">
      <c r="A598" s="145"/>
      <c r="B598" s="182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</row>
    <row r="599" ht="13.5" customHeight="1">
      <c r="A599" s="145"/>
      <c r="B599" s="182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</row>
    <row r="600" ht="13.5" customHeight="1">
      <c r="A600" s="145"/>
      <c r="B600" s="182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</row>
    <row r="601" ht="13.5" customHeight="1">
      <c r="A601" s="145"/>
      <c r="B601" s="182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</row>
    <row r="602" ht="13.5" customHeight="1">
      <c r="A602" s="145"/>
      <c r="B602" s="182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</row>
    <row r="603" ht="13.5" customHeight="1">
      <c r="A603" s="145"/>
      <c r="B603" s="182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</row>
    <row r="604" ht="13.5" customHeight="1">
      <c r="A604" s="145"/>
      <c r="B604" s="182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</row>
    <row r="605" ht="13.5" customHeight="1">
      <c r="A605" s="145"/>
      <c r="B605" s="182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</row>
    <row r="606" ht="13.5" customHeight="1">
      <c r="A606" s="145"/>
      <c r="B606" s="182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</row>
    <row r="607" ht="13.5" customHeight="1">
      <c r="A607" s="145"/>
      <c r="B607" s="182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</row>
    <row r="608" ht="13.5" customHeight="1">
      <c r="A608" s="145"/>
      <c r="B608" s="182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</row>
    <row r="609" ht="13.5" customHeight="1">
      <c r="A609" s="145"/>
      <c r="B609" s="182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</row>
    <row r="610" ht="13.5" customHeight="1">
      <c r="A610" s="145"/>
      <c r="B610" s="182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</row>
    <row r="611" ht="13.5" customHeight="1">
      <c r="A611" s="145"/>
      <c r="B611" s="182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</row>
    <row r="612" ht="13.5" customHeight="1">
      <c r="A612" s="145"/>
      <c r="B612" s="182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</row>
    <row r="613" ht="13.5" customHeight="1">
      <c r="A613" s="145"/>
      <c r="B613" s="182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</row>
    <row r="614" ht="13.5" customHeight="1">
      <c r="A614" s="145"/>
      <c r="B614" s="182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</row>
    <row r="615" ht="13.5" customHeight="1">
      <c r="A615" s="145"/>
      <c r="B615" s="182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</row>
    <row r="616" ht="13.5" customHeight="1">
      <c r="A616" s="145"/>
      <c r="B616" s="182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</row>
    <row r="617" ht="13.5" customHeight="1">
      <c r="A617" s="145"/>
      <c r="B617" s="182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</row>
    <row r="618" ht="13.5" customHeight="1">
      <c r="A618" s="145"/>
      <c r="B618" s="182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</row>
    <row r="619" ht="13.5" customHeight="1">
      <c r="A619" s="145"/>
      <c r="B619" s="182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</row>
    <row r="620" ht="13.5" customHeight="1">
      <c r="A620" s="145"/>
      <c r="B620" s="182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</row>
    <row r="621" ht="13.5" customHeight="1">
      <c r="A621" s="145"/>
      <c r="B621" s="182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</row>
    <row r="622" ht="13.5" customHeight="1">
      <c r="A622" s="145"/>
      <c r="B622" s="182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</row>
    <row r="623" ht="13.5" customHeight="1">
      <c r="A623" s="145"/>
      <c r="B623" s="182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</row>
    <row r="624" ht="13.5" customHeight="1">
      <c r="A624" s="145"/>
      <c r="B624" s="182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</row>
    <row r="625" ht="13.5" customHeight="1">
      <c r="A625" s="145"/>
      <c r="B625" s="182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</row>
    <row r="626" ht="13.5" customHeight="1">
      <c r="A626" s="145"/>
      <c r="B626" s="182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</row>
    <row r="627" ht="13.5" customHeight="1">
      <c r="A627" s="145"/>
      <c r="B627" s="182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</row>
    <row r="628" ht="13.5" customHeight="1">
      <c r="A628" s="145"/>
      <c r="B628" s="182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</row>
    <row r="629" ht="13.5" customHeight="1">
      <c r="A629" s="145"/>
      <c r="B629" s="182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</row>
    <row r="630" ht="13.5" customHeight="1">
      <c r="A630" s="145"/>
      <c r="B630" s="182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</row>
    <row r="631" ht="13.5" customHeight="1">
      <c r="A631" s="145"/>
      <c r="B631" s="182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</row>
    <row r="632" ht="13.5" customHeight="1">
      <c r="A632" s="145"/>
      <c r="B632" s="182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</row>
    <row r="633" ht="13.5" customHeight="1">
      <c r="A633" s="145"/>
      <c r="B633" s="182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</row>
    <row r="634" ht="13.5" customHeight="1">
      <c r="A634" s="145"/>
      <c r="B634" s="182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</row>
    <row r="635" ht="13.5" customHeight="1">
      <c r="A635" s="145"/>
      <c r="B635" s="182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</row>
    <row r="636" ht="13.5" customHeight="1">
      <c r="A636" s="145"/>
      <c r="B636" s="182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</row>
    <row r="637" ht="13.5" customHeight="1">
      <c r="A637" s="145"/>
      <c r="B637" s="182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</row>
    <row r="638" ht="13.5" customHeight="1">
      <c r="A638" s="145"/>
      <c r="B638" s="182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</row>
    <row r="639" ht="13.5" customHeight="1">
      <c r="A639" s="145"/>
      <c r="B639" s="182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</row>
    <row r="640" ht="13.5" customHeight="1">
      <c r="A640" s="145"/>
      <c r="B640" s="182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</row>
    <row r="641" ht="13.5" customHeight="1">
      <c r="A641" s="145"/>
      <c r="B641" s="182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</row>
    <row r="642" ht="13.5" customHeight="1">
      <c r="A642" s="145"/>
      <c r="B642" s="182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</row>
    <row r="643" ht="13.5" customHeight="1">
      <c r="A643" s="145"/>
      <c r="B643" s="182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</row>
    <row r="644" ht="13.5" customHeight="1">
      <c r="A644" s="145"/>
      <c r="B644" s="182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</row>
    <row r="645" ht="13.5" customHeight="1">
      <c r="A645" s="145"/>
      <c r="B645" s="182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</row>
    <row r="646" ht="13.5" customHeight="1">
      <c r="A646" s="145"/>
      <c r="B646" s="182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</row>
    <row r="647" ht="13.5" customHeight="1">
      <c r="A647" s="145"/>
      <c r="B647" s="182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</row>
    <row r="648" ht="13.5" customHeight="1">
      <c r="A648" s="145"/>
      <c r="B648" s="182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</row>
    <row r="649" ht="13.5" customHeight="1">
      <c r="A649" s="145"/>
      <c r="B649" s="182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</row>
    <row r="650" ht="13.5" customHeight="1">
      <c r="A650" s="145"/>
      <c r="B650" s="182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</row>
    <row r="651" ht="13.5" customHeight="1">
      <c r="A651" s="145"/>
      <c r="B651" s="182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</row>
    <row r="652" ht="13.5" customHeight="1">
      <c r="A652" s="145"/>
      <c r="B652" s="182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</row>
    <row r="653" ht="13.5" customHeight="1">
      <c r="A653" s="145"/>
      <c r="B653" s="182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</row>
    <row r="654" ht="13.5" customHeight="1">
      <c r="A654" s="145"/>
      <c r="B654" s="182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</row>
    <row r="655" ht="13.5" customHeight="1">
      <c r="A655" s="145"/>
      <c r="B655" s="182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</row>
    <row r="656" ht="13.5" customHeight="1">
      <c r="A656" s="145"/>
      <c r="B656" s="182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</row>
    <row r="657" ht="13.5" customHeight="1">
      <c r="A657" s="145"/>
      <c r="B657" s="182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</row>
    <row r="658" ht="13.5" customHeight="1">
      <c r="A658" s="145"/>
      <c r="B658" s="182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</row>
    <row r="659" ht="13.5" customHeight="1">
      <c r="A659" s="145"/>
      <c r="B659" s="182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</row>
    <row r="660" ht="13.5" customHeight="1">
      <c r="A660" s="145"/>
      <c r="B660" s="182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</row>
    <row r="661" ht="13.5" customHeight="1">
      <c r="A661" s="145"/>
      <c r="B661" s="182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</row>
    <row r="662" ht="13.5" customHeight="1">
      <c r="A662" s="145"/>
      <c r="B662" s="182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</row>
    <row r="663" ht="13.5" customHeight="1">
      <c r="A663" s="145"/>
      <c r="B663" s="182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</row>
    <row r="664" ht="13.5" customHeight="1">
      <c r="A664" s="145"/>
      <c r="B664" s="182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</row>
    <row r="665" ht="13.5" customHeight="1">
      <c r="A665" s="145"/>
      <c r="B665" s="182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</row>
    <row r="666" ht="13.5" customHeight="1">
      <c r="A666" s="145"/>
      <c r="B666" s="182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</row>
    <row r="667" ht="13.5" customHeight="1">
      <c r="A667" s="145"/>
      <c r="B667" s="182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</row>
    <row r="668" ht="13.5" customHeight="1">
      <c r="A668" s="145"/>
      <c r="B668" s="182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</row>
    <row r="669" ht="13.5" customHeight="1">
      <c r="A669" s="145"/>
      <c r="B669" s="182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</row>
    <row r="670" ht="13.5" customHeight="1">
      <c r="A670" s="145"/>
      <c r="B670" s="182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</row>
    <row r="671" ht="13.5" customHeight="1">
      <c r="A671" s="145"/>
      <c r="B671" s="182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</row>
    <row r="672" ht="13.5" customHeight="1">
      <c r="A672" s="145"/>
      <c r="B672" s="182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</row>
    <row r="673" ht="13.5" customHeight="1">
      <c r="A673" s="145"/>
      <c r="B673" s="182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</row>
    <row r="674" ht="13.5" customHeight="1">
      <c r="A674" s="145"/>
      <c r="B674" s="182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</row>
    <row r="675" ht="13.5" customHeight="1">
      <c r="A675" s="145"/>
      <c r="B675" s="182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</row>
    <row r="676" ht="13.5" customHeight="1">
      <c r="A676" s="145"/>
      <c r="B676" s="182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</row>
    <row r="677" ht="13.5" customHeight="1">
      <c r="A677" s="145"/>
      <c r="B677" s="182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</row>
    <row r="678" ht="13.5" customHeight="1">
      <c r="A678" s="145"/>
      <c r="B678" s="182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</row>
    <row r="679" ht="13.5" customHeight="1">
      <c r="A679" s="145"/>
      <c r="B679" s="182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</row>
    <row r="680" ht="13.5" customHeight="1">
      <c r="A680" s="145"/>
      <c r="B680" s="182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</row>
    <row r="681" ht="13.5" customHeight="1">
      <c r="A681" s="145"/>
      <c r="B681" s="182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</row>
    <row r="682" ht="13.5" customHeight="1">
      <c r="A682" s="145"/>
      <c r="B682" s="182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</row>
    <row r="683" ht="13.5" customHeight="1">
      <c r="A683" s="145"/>
      <c r="B683" s="182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</row>
    <row r="684" ht="13.5" customHeight="1">
      <c r="A684" s="145"/>
      <c r="B684" s="182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</row>
    <row r="685" ht="13.5" customHeight="1">
      <c r="A685" s="145"/>
      <c r="B685" s="182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</row>
    <row r="686" ht="13.5" customHeight="1">
      <c r="A686" s="145"/>
      <c r="B686" s="182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</row>
    <row r="687" ht="13.5" customHeight="1">
      <c r="A687" s="145"/>
      <c r="B687" s="182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</row>
    <row r="688" ht="13.5" customHeight="1">
      <c r="A688" s="145"/>
      <c r="B688" s="182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</row>
    <row r="689" ht="13.5" customHeight="1">
      <c r="A689" s="145"/>
      <c r="B689" s="182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</row>
    <row r="690" ht="13.5" customHeight="1">
      <c r="A690" s="145"/>
      <c r="B690" s="182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</row>
    <row r="691" ht="13.5" customHeight="1">
      <c r="A691" s="145"/>
      <c r="B691" s="182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</row>
    <row r="692" ht="13.5" customHeight="1">
      <c r="A692" s="145"/>
      <c r="B692" s="182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</row>
    <row r="693" ht="13.5" customHeight="1">
      <c r="A693" s="145"/>
      <c r="B693" s="182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</row>
    <row r="694" ht="13.5" customHeight="1">
      <c r="A694" s="145"/>
      <c r="B694" s="182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</row>
    <row r="695" ht="13.5" customHeight="1">
      <c r="A695" s="145"/>
      <c r="B695" s="182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</row>
    <row r="696" ht="13.5" customHeight="1">
      <c r="A696" s="145"/>
      <c r="B696" s="182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</row>
    <row r="697" ht="13.5" customHeight="1">
      <c r="A697" s="145"/>
      <c r="B697" s="182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</row>
    <row r="698" ht="13.5" customHeight="1">
      <c r="A698" s="145"/>
      <c r="B698" s="182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</row>
    <row r="699" ht="13.5" customHeight="1">
      <c r="A699" s="145"/>
      <c r="B699" s="182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</row>
    <row r="700" ht="13.5" customHeight="1">
      <c r="A700" s="145"/>
      <c r="B700" s="182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</row>
    <row r="701" ht="13.5" customHeight="1">
      <c r="A701" s="145"/>
      <c r="B701" s="182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</row>
    <row r="702" ht="13.5" customHeight="1">
      <c r="A702" s="145"/>
      <c r="B702" s="182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</row>
    <row r="703" ht="13.5" customHeight="1">
      <c r="A703" s="145"/>
      <c r="B703" s="182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</row>
    <row r="704" ht="13.5" customHeight="1">
      <c r="A704" s="145"/>
      <c r="B704" s="182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</row>
    <row r="705" ht="13.5" customHeight="1">
      <c r="A705" s="145"/>
      <c r="B705" s="182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</row>
    <row r="706" ht="13.5" customHeight="1">
      <c r="A706" s="145"/>
      <c r="B706" s="182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</row>
    <row r="707" ht="13.5" customHeight="1">
      <c r="A707" s="145"/>
      <c r="B707" s="182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</row>
    <row r="708" ht="13.5" customHeight="1">
      <c r="A708" s="145"/>
      <c r="B708" s="182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</row>
    <row r="709" ht="13.5" customHeight="1">
      <c r="A709" s="145"/>
      <c r="B709" s="182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</row>
    <row r="710" ht="13.5" customHeight="1">
      <c r="A710" s="145"/>
      <c r="B710" s="182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</row>
    <row r="711" ht="13.5" customHeight="1">
      <c r="A711" s="145"/>
      <c r="B711" s="182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</row>
    <row r="712" ht="13.5" customHeight="1">
      <c r="A712" s="145"/>
      <c r="B712" s="182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</row>
    <row r="713" ht="13.5" customHeight="1">
      <c r="A713" s="145"/>
      <c r="B713" s="182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</row>
    <row r="714" ht="13.5" customHeight="1">
      <c r="A714" s="145"/>
      <c r="B714" s="182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</row>
    <row r="715" ht="13.5" customHeight="1">
      <c r="A715" s="145"/>
      <c r="B715" s="182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</row>
    <row r="716" ht="13.5" customHeight="1">
      <c r="A716" s="145"/>
      <c r="B716" s="182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</row>
    <row r="717" ht="13.5" customHeight="1">
      <c r="A717" s="145"/>
      <c r="B717" s="182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</row>
    <row r="718" ht="13.5" customHeight="1">
      <c r="A718" s="145"/>
      <c r="B718" s="182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</row>
    <row r="719" ht="13.5" customHeight="1">
      <c r="A719" s="145"/>
      <c r="B719" s="182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</row>
    <row r="720" ht="13.5" customHeight="1">
      <c r="A720" s="145"/>
      <c r="B720" s="182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</row>
    <row r="721" ht="13.5" customHeight="1">
      <c r="A721" s="145"/>
      <c r="B721" s="182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</row>
    <row r="722" ht="13.5" customHeight="1">
      <c r="A722" s="145"/>
      <c r="B722" s="182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</row>
    <row r="723" ht="13.5" customHeight="1">
      <c r="A723" s="145"/>
      <c r="B723" s="182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</row>
    <row r="724" ht="13.5" customHeight="1">
      <c r="A724" s="145"/>
      <c r="B724" s="182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</row>
    <row r="725" ht="13.5" customHeight="1">
      <c r="A725" s="145"/>
      <c r="B725" s="182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</row>
    <row r="726" ht="13.5" customHeight="1">
      <c r="A726" s="145"/>
      <c r="B726" s="182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</row>
    <row r="727" ht="13.5" customHeight="1">
      <c r="A727" s="145"/>
      <c r="B727" s="182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</row>
    <row r="728" ht="13.5" customHeight="1">
      <c r="A728" s="145"/>
      <c r="B728" s="182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</row>
    <row r="729" ht="13.5" customHeight="1">
      <c r="A729" s="145"/>
      <c r="B729" s="182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</row>
    <row r="730" ht="13.5" customHeight="1">
      <c r="A730" s="145"/>
      <c r="B730" s="182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</row>
    <row r="731" ht="13.5" customHeight="1">
      <c r="A731" s="145"/>
      <c r="B731" s="182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</row>
    <row r="732" ht="13.5" customHeight="1">
      <c r="A732" s="145"/>
      <c r="B732" s="182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</row>
    <row r="733" ht="13.5" customHeight="1">
      <c r="A733" s="145"/>
      <c r="B733" s="182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</row>
    <row r="734" ht="13.5" customHeight="1">
      <c r="A734" s="145"/>
      <c r="B734" s="182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</row>
    <row r="735" ht="13.5" customHeight="1">
      <c r="A735" s="145"/>
      <c r="B735" s="182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</row>
    <row r="736" ht="13.5" customHeight="1">
      <c r="A736" s="145"/>
      <c r="B736" s="182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</row>
    <row r="737" ht="13.5" customHeight="1">
      <c r="A737" s="145"/>
      <c r="B737" s="182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</row>
    <row r="738" ht="13.5" customHeight="1">
      <c r="A738" s="145"/>
      <c r="B738" s="182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</row>
    <row r="739" ht="13.5" customHeight="1">
      <c r="A739" s="145"/>
      <c r="B739" s="182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</row>
    <row r="740" ht="13.5" customHeight="1">
      <c r="A740" s="145"/>
      <c r="B740" s="182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</row>
    <row r="741" ht="13.5" customHeight="1">
      <c r="A741" s="145"/>
      <c r="B741" s="182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</row>
    <row r="742" ht="13.5" customHeight="1">
      <c r="A742" s="145"/>
      <c r="B742" s="182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</row>
    <row r="743" ht="13.5" customHeight="1">
      <c r="A743" s="145"/>
      <c r="B743" s="182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</row>
    <row r="744" ht="13.5" customHeight="1">
      <c r="A744" s="145"/>
      <c r="B744" s="182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</row>
    <row r="745" ht="13.5" customHeight="1">
      <c r="A745" s="145"/>
      <c r="B745" s="182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</row>
    <row r="746" ht="13.5" customHeight="1">
      <c r="A746" s="145"/>
      <c r="B746" s="182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</row>
    <row r="747" ht="13.5" customHeight="1">
      <c r="A747" s="145"/>
      <c r="B747" s="182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</row>
    <row r="748" ht="13.5" customHeight="1">
      <c r="A748" s="145"/>
      <c r="B748" s="182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</row>
    <row r="749" ht="13.5" customHeight="1">
      <c r="A749" s="145"/>
      <c r="B749" s="182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</row>
    <row r="750" ht="13.5" customHeight="1">
      <c r="A750" s="145"/>
      <c r="B750" s="182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</row>
    <row r="751" ht="13.5" customHeight="1">
      <c r="A751" s="145"/>
      <c r="B751" s="182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</row>
    <row r="752" ht="13.5" customHeight="1">
      <c r="A752" s="145"/>
      <c r="B752" s="182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</row>
    <row r="753" ht="13.5" customHeight="1">
      <c r="A753" s="145"/>
      <c r="B753" s="182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</row>
    <row r="754" ht="13.5" customHeight="1">
      <c r="A754" s="145"/>
      <c r="B754" s="182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</row>
    <row r="755" ht="13.5" customHeight="1">
      <c r="A755" s="145"/>
      <c r="B755" s="182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</row>
    <row r="756" ht="13.5" customHeight="1">
      <c r="A756" s="145"/>
      <c r="B756" s="182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</row>
    <row r="757" ht="13.5" customHeight="1">
      <c r="A757" s="145"/>
      <c r="B757" s="182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</row>
    <row r="758" ht="13.5" customHeight="1">
      <c r="A758" s="145"/>
      <c r="B758" s="182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</row>
    <row r="759" ht="13.5" customHeight="1">
      <c r="A759" s="145"/>
      <c r="B759" s="182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</row>
    <row r="760" ht="13.5" customHeight="1">
      <c r="A760" s="145"/>
      <c r="B760" s="182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</row>
    <row r="761" ht="13.5" customHeight="1">
      <c r="A761" s="145"/>
      <c r="B761" s="182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</row>
    <row r="762" ht="13.5" customHeight="1">
      <c r="A762" s="145"/>
      <c r="B762" s="182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</row>
    <row r="763" ht="13.5" customHeight="1">
      <c r="A763" s="145"/>
      <c r="B763" s="182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</row>
    <row r="764" ht="13.5" customHeight="1">
      <c r="A764" s="145"/>
      <c r="B764" s="182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</row>
    <row r="765" ht="13.5" customHeight="1">
      <c r="A765" s="145"/>
      <c r="B765" s="182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</row>
    <row r="766" ht="13.5" customHeight="1">
      <c r="A766" s="145"/>
      <c r="B766" s="182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</row>
    <row r="767" ht="13.5" customHeight="1">
      <c r="A767" s="145"/>
      <c r="B767" s="182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</row>
    <row r="768" ht="13.5" customHeight="1">
      <c r="A768" s="145"/>
      <c r="B768" s="182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</row>
    <row r="769" ht="13.5" customHeight="1">
      <c r="A769" s="145"/>
      <c r="B769" s="182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</row>
    <row r="770" ht="13.5" customHeight="1">
      <c r="A770" s="145"/>
      <c r="B770" s="182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</row>
    <row r="771" ht="13.5" customHeight="1">
      <c r="A771" s="145"/>
      <c r="B771" s="182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</row>
    <row r="772" ht="13.5" customHeight="1">
      <c r="A772" s="145"/>
      <c r="B772" s="182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</row>
    <row r="773" ht="13.5" customHeight="1">
      <c r="A773" s="145"/>
      <c r="B773" s="182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</row>
    <row r="774" ht="13.5" customHeight="1">
      <c r="A774" s="145"/>
      <c r="B774" s="182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</row>
    <row r="775" ht="13.5" customHeight="1">
      <c r="A775" s="145"/>
      <c r="B775" s="182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</row>
    <row r="776" ht="13.5" customHeight="1">
      <c r="A776" s="145"/>
      <c r="B776" s="182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</row>
    <row r="777" ht="13.5" customHeight="1">
      <c r="A777" s="145"/>
      <c r="B777" s="182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</row>
    <row r="778" ht="13.5" customHeight="1">
      <c r="A778" s="145"/>
      <c r="B778" s="182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</row>
    <row r="779" ht="13.5" customHeight="1">
      <c r="A779" s="145"/>
      <c r="B779" s="182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</row>
    <row r="780" ht="13.5" customHeight="1">
      <c r="A780" s="145"/>
      <c r="B780" s="182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</row>
    <row r="781" ht="13.5" customHeight="1">
      <c r="A781" s="145"/>
      <c r="B781" s="182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</row>
    <row r="782" ht="13.5" customHeight="1">
      <c r="A782" s="145"/>
      <c r="B782" s="182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</row>
    <row r="783" ht="13.5" customHeight="1">
      <c r="A783" s="145"/>
      <c r="B783" s="182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</row>
    <row r="784" ht="13.5" customHeight="1">
      <c r="A784" s="145"/>
      <c r="B784" s="182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</row>
    <row r="785" ht="13.5" customHeight="1">
      <c r="A785" s="145"/>
      <c r="B785" s="182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</row>
    <row r="786" ht="13.5" customHeight="1">
      <c r="A786" s="145"/>
      <c r="B786" s="182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</row>
    <row r="787" ht="13.5" customHeight="1">
      <c r="A787" s="145"/>
      <c r="B787" s="182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</row>
    <row r="788" ht="13.5" customHeight="1">
      <c r="A788" s="145"/>
      <c r="B788" s="182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</row>
    <row r="789" ht="13.5" customHeight="1">
      <c r="A789" s="145"/>
      <c r="B789" s="182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</row>
    <row r="790" ht="13.5" customHeight="1">
      <c r="A790" s="145"/>
      <c r="B790" s="182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</row>
    <row r="791" ht="13.5" customHeight="1">
      <c r="A791" s="145"/>
      <c r="B791" s="182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</row>
    <row r="792" ht="13.5" customHeight="1">
      <c r="A792" s="145"/>
      <c r="B792" s="182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</row>
    <row r="793" ht="13.5" customHeight="1">
      <c r="A793" s="145"/>
      <c r="B793" s="182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</row>
    <row r="794" ht="13.5" customHeight="1">
      <c r="A794" s="145"/>
      <c r="B794" s="182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</row>
    <row r="795" ht="13.5" customHeight="1">
      <c r="A795" s="145"/>
      <c r="B795" s="182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</row>
    <row r="796" ht="13.5" customHeight="1">
      <c r="A796" s="145"/>
      <c r="B796" s="182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</row>
    <row r="797" ht="13.5" customHeight="1">
      <c r="A797" s="145"/>
      <c r="B797" s="182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</row>
    <row r="798" ht="13.5" customHeight="1">
      <c r="A798" s="145"/>
      <c r="B798" s="182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</row>
    <row r="799" ht="13.5" customHeight="1">
      <c r="A799" s="145"/>
      <c r="B799" s="182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</row>
    <row r="800" ht="13.5" customHeight="1">
      <c r="A800" s="145"/>
      <c r="B800" s="182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</row>
    <row r="801" ht="13.5" customHeight="1">
      <c r="A801" s="145"/>
      <c r="B801" s="182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</row>
    <row r="802" ht="13.5" customHeight="1">
      <c r="A802" s="145"/>
      <c r="B802" s="182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</row>
    <row r="803" ht="13.5" customHeight="1">
      <c r="A803" s="145"/>
      <c r="B803" s="182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</row>
    <row r="804" ht="13.5" customHeight="1">
      <c r="A804" s="145"/>
      <c r="B804" s="182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</row>
    <row r="805" ht="13.5" customHeight="1">
      <c r="A805" s="145"/>
      <c r="B805" s="182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</row>
    <row r="806" ht="13.5" customHeight="1">
      <c r="A806" s="145"/>
      <c r="B806" s="182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</row>
    <row r="807" ht="13.5" customHeight="1">
      <c r="A807" s="145"/>
      <c r="B807" s="182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</row>
    <row r="808" ht="13.5" customHeight="1">
      <c r="A808" s="145"/>
      <c r="B808" s="182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</row>
    <row r="809" ht="13.5" customHeight="1">
      <c r="A809" s="145"/>
      <c r="B809" s="182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</row>
    <row r="810" ht="13.5" customHeight="1">
      <c r="A810" s="145"/>
      <c r="B810" s="182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</row>
    <row r="811" ht="13.5" customHeight="1">
      <c r="A811" s="145"/>
      <c r="B811" s="182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</row>
    <row r="812" ht="13.5" customHeight="1">
      <c r="A812" s="145"/>
      <c r="B812" s="182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</row>
    <row r="813" ht="13.5" customHeight="1">
      <c r="A813" s="145"/>
      <c r="B813" s="182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</row>
    <row r="814" ht="13.5" customHeight="1">
      <c r="A814" s="145"/>
      <c r="B814" s="182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</row>
    <row r="815" ht="13.5" customHeight="1">
      <c r="A815" s="145"/>
      <c r="B815" s="182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</row>
    <row r="816" ht="13.5" customHeight="1">
      <c r="A816" s="145"/>
      <c r="B816" s="182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</row>
    <row r="817" ht="13.5" customHeight="1">
      <c r="A817" s="145"/>
      <c r="B817" s="182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</row>
    <row r="818" ht="13.5" customHeight="1">
      <c r="A818" s="145"/>
      <c r="B818" s="182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</row>
    <row r="819" ht="13.5" customHeight="1">
      <c r="A819" s="145"/>
      <c r="B819" s="182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</row>
    <row r="820" ht="13.5" customHeight="1">
      <c r="A820" s="145"/>
      <c r="B820" s="182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</row>
    <row r="821" ht="13.5" customHeight="1">
      <c r="A821" s="145"/>
      <c r="B821" s="182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</row>
    <row r="822" ht="13.5" customHeight="1">
      <c r="A822" s="145"/>
      <c r="B822" s="182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</row>
    <row r="823" ht="13.5" customHeight="1">
      <c r="A823" s="145"/>
      <c r="B823" s="182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</row>
    <row r="824" ht="13.5" customHeight="1">
      <c r="A824" s="145"/>
      <c r="B824" s="182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</row>
    <row r="825" ht="13.5" customHeight="1">
      <c r="A825" s="145"/>
      <c r="B825" s="182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</row>
    <row r="826" ht="13.5" customHeight="1">
      <c r="A826" s="145"/>
      <c r="B826" s="182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</row>
    <row r="827" ht="13.5" customHeight="1">
      <c r="A827" s="145"/>
      <c r="B827" s="182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</row>
    <row r="828" ht="13.5" customHeight="1">
      <c r="A828" s="145"/>
      <c r="B828" s="182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</row>
    <row r="829" ht="13.5" customHeight="1">
      <c r="A829" s="145"/>
      <c r="B829" s="182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</row>
    <row r="830" ht="13.5" customHeight="1">
      <c r="A830" s="145"/>
      <c r="B830" s="182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</row>
    <row r="831" ht="13.5" customHeight="1">
      <c r="A831" s="145"/>
      <c r="B831" s="182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</row>
    <row r="832" ht="13.5" customHeight="1">
      <c r="A832" s="145"/>
      <c r="B832" s="182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</row>
    <row r="833" ht="13.5" customHeight="1">
      <c r="A833" s="145"/>
      <c r="B833" s="182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</row>
    <row r="834" ht="13.5" customHeight="1">
      <c r="A834" s="145"/>
      <c r="B834" s="182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</row>
    <row r="835" ht="13.5" customHeight="1">
      <c r="A835" s="145"/>
      <c r="B835" s="182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</row>
    <row r="836" ht="13.5" customHeight="1">
      <c r="A836" s="145"/>
      <c r="B836" s="182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</row>
    <row r="837" ht="13.5" customHeight="1">
      <c r="A837" s="145"/>
      <c r="B837" s="182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</row>
    <row r="838" ht="13.5" customHeight="1">
      <c r="A838" s="145"/>
      <c r="B838" s="182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</row>
    <row r="839" ht="13.5" customHeight="1">
      <c r="A839" s="145"/>
      <c r="B839" s="182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</row>
    <row r="840" ht="13.5" customHeight="1">
      <c r="A840" s="145"/>
      <c r="B840" s="182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</row>
    <row r="841" ht="13.5" customHeight="1">
      <c r="A841" s="145"/>
      <c r="B841" s="182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</row>
    <row r="842" ht="13.5" customHeight="1">
      <c r="A842" s="145"/>
      <c r="B842" s="182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</row>
    <row r="843" ht="13.5" customHeight="1">
      <c r="A843" s="145"/>
      <c r="B843" s="182"/>
      <c r="C843" s="145"/>
      <c r="D843" s="146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</row>
    <row r="844" ht="13.5" customHeight="1">
      <c r="A844" s="145"/>
      <c r="B844" s="182"/>
      <c r="C844" s="145"/>
      <c r="D844" s="146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</row>
    <row r="845" ht="13.5" customHeight="1">
      <c r="A845" s="145"/>
      <c r="B845" s="182"/>
      <c r="C845" s="145"/>
      <c r="D845" s="146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</row>
    <row r="846" ht="13.5" customHeight="1">
      <c r="A846" s="145"/>
      <c r="B846" s="182"/>
      <c r="C846" s="145"/>
      <c r="D846" s="146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</row>
    <row r="847" ht="13.5" customHeight="1">
      <c r="A847" s="145"/>
      <c r="B847" s="182"/>
      <c r="C847" s="145"/>
      <c r="D847" s="146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</row>
    <row r="848" ht="13.5" customHeight="1">
      <c r="A848" s="145"/>
      <c r="B848" s="182"/>
      <c r="C848" s="145"/>
      <c r="D848" s="146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</row>
    <row r="849" ht="13.5" customHeight="1">
      <c r="A849" s="145"/>
      <c r="B849" s="182"/>
      <c r="C849" s="145"/>
      <c r="D849" s="146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</row>
    <row r="850" ht="13.5" customHeight="1">
      <c r="A850" s="145"/>
      <c r="B850" s="182"/>
      <c r="C850" s="145"/>
      <c r="D850" s="146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</row>
    <row r="851" ht="13.5" customHeight="1">
      <c r="A851" s="145"/>
      <c r="B851" s="182"/>
      <c r="C851" s="145"/>
      <c r="D851" s="146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</row>
    <row r="852" ht="13.5" customHeight="1">
      <c r="A852" s="145"/>
      <c r="B852" s="182"/>
      <c r="C852" s="145"/>
      <c r="D852" s="146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</row>
    <row r="853" ht="13.5" customHeight="1">
      <c r="A853" s="145"/>
      <c r="B853" s="182"/>
      <c r="C853" s="145"/>
      <c r="D853" s="146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</row>
    <row r="854" ht="13.5" customHeight="1">
      <c r="A854" s="145"/>
      <c r="B854" s="182"/>
      <c r="C854" s="145"/>
      <c r="D854" s="146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</row>
    <row r="855" ht="13.5" customHeight="1">
      <c r="A855" s="145"/>
      <c r="B855" s="182"/>
      <c r="C855" s="145"/>
      <c r="D855" s="146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</row>
    <row r="856" ht="13.5" customHeight="1">
      <c r="A856" s="145"/>
      <c r="B856" s="182"/>
      <c r="C856" s="145"/>
      <c r="D856" s="146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</row>
    <row r="857" ht="13.5" customHeight="1">
      <c r="A857" s="145"/>
      <c r="B857" s="182"/>
      <c r="C857" s="145"/>
      <c r="D857" s="146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</row>
    <row r="858" ht="13.5" customHeight="1">
      <c r="A858" s="145"/>
      <c r="B858" s="182"/>
      <c r="C858" s="145"/>
      <c r="D858" s="146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</row>
    <row r="859" ht="13.5" customHeight="1">
      <c r="A859" s="145"/>
      <c r="B859" s="182"/>
      <c r="C859" s="145"/>
      <c r="D859" s="146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</row>
    <row r="860" ht="13.5" customHeight="1">
      <c r="A860" s="145"/>
      <c r="B860" s="182"/>
      <c r="C860" s="145"/>
      <c r="D860" s="146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</row>
    <row r="861" ht="13.5" customHeight="1">
      <c r="A861" s="145"/>
      <c r="B861" s="182"/>
      <c r="C861" s="145"/>
      <c r="D861" s="146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</row>
    <row r="862" ht="13.5" customHeight="1">
      <c r="A862" s="145"/>
      <c r="B862" s="182"/>
      <c r="C862" s="145"/>
      <c r="D862" s="146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</row>
    <row r="863" ht="13.5" customHeight="1">
      <c r="A863" s="145"/>
      <c r="B863" s="182"/>
      <c r="C863" s="145"/>
      <c r="D863" s="146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</row>
    <row r="864" ht="13.5" customHeight="1">
      <c r="A864" s="145"/>
      <c r="B864" s="182"/>
      <c r="C864" s="145"/>
      <c r="D864" s="146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</row>
    <row r="865" ht="13.5" customHeight="1">
      <c r="A865" s="145"/>
      <c r="B865" s="182"/>
      <c r="C865" s="145"/>
      <c r="D865" s="146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</row>
    <row r="866" ht="13.5" customHeight="1">
      <c r="A866" s="145"/>
      <c r="B866" s="182"/>
      <c r="C866" s="145"/>
      <c r="D866" s="146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</row>
    <row r="867" ht="13.5" customHeight="1">
      <c r="A867" s="145"/>
      <c r="B867" s="182"/>
      <c r="C867" s="145"/>
      <c r="D867" s="146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</row>
    <row r="868" ht="13.5" customHeight="1">
      <c r="A868" s="145"/>
      <c r="B868" s="182"/>
      <c r="C868" s="145"/>
      <c r="D868" s="146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</row>
    <row r="869" ht="13.5" customHeight="1">
      <c r="A869" s="145"/>
      <c r="B869" s="182"/>
      <c r="C869" s="145"/>
      <c r="D869" s="146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</row>
    <row r="870" ht="13.5" customHeight="1">
      <c r="A870" s="145"/>
      <c r="B870" s="182"/>
      <c r="C870" s="145"/>
      <c r="D870" s="146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</row>
    <row r="871" ht="13.5" customHeight="1">
      <c r="A871" s="145"/>
      <c r="B871" s="182"/>
      <c r="C871" s="145"/>
      <c r="D871" s="146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</row>
    <row r="872" ht="13.5" customHeight="1">
      <c r="A872" s="145"/>
      <c r="B872" s="182"/>
      <c r="C872" s="145"/>
      <c r="D872" s="146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</row>
    <row r="873" ht="13.5" customHeight="1">
      <c r="A873" s="145"/>
      <c r="B873" s="182"/>
      <c r="C873" s="145"/>
      <c r="D873" s="146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</row>
    <row r="874" ht="13.5" customHeight="1">
      <c r="A874" s="145"/>
      <c r="B874" s="182"/>
      <c r="C874" s="145"/>
      <c r="D874" s="146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</row>
    <row r="875" ht="13.5" customHeight="1">
      <c r="A875" s="145"/>
      <c r="B875" s="182"/>
      <c r="C875" s="145"/>
      <c r="D875" s="146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</row>
    <row r="876" ht="13.5" customHeight="1">
      <c r="A876" s="145"/>
      <c r="B876" s="182"/>
      <c r="C876" s="145"/>
      <c r="D876" s="146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</row>
    <row r="877" ht="13.5" customHeight="1">
      <c r="A877" s="145"/>
      <c r="B877" s="182"/>
      <c r="C877" s="145"/>
      <c r="D877" s="146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</row>
    <row r="878" ht="13.5" customHeight="1">
      <c r="A878" s="145"/>
      <c r="B878" s="182"/>
      <c r="C878" s="145"/>
      <c r="D878" s="146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</row>
    <row r="879" ht="13.5" customHeight="1">
      <c r="A879" s="145"/>
      <c r="B879" s="182"/>
      <c r="C879" s="145"/>
      <c r="D879" s="146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</row>
    <row r="880" ht="13.5" customHeight="1">
      <c r="A880" s="145"/>
      <c r="B880" s="182"/>
      <c r="C880" s="145"/>
      <c r="D880" s="146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</row>
    <row r="881" ht="13.5" customHeight="1">
      <c r="A881" s="145"/>
      <c r="B881" s="182"/>
      <c r="C881" s="145"/>
      <c r="D881" s="146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</row>
    <row r="882" ht="13.5" customHeight="1">
      <c r="A882" s="145"/>
      <c r="B882" s="182"/>
      <c r="C882" s="145"/>
      <c r="D882" s="146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</row>
    <row r="883" ht="13.5" customHeight="1">
      <c r="A883" s="145"/>
      <c r="B883" s="182"/>
      <c r="C883" s="145"/>
      <c r="D883" s="146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</row>
    <row r="884" ht="13.5" customHeight="1">
      <c r="A884" s="145"/>
      <c r="B884" s="182"/>
      <c r="C884" s="145"/>
      <c r="D884" s="146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</row>
    <row r="885" ht="13.5" customHeight="1">
      <c r="A885" s="145"/>
      <c r="B885" s="182"/>
      <c r="C885" s="145"/>
      <c r="D885" s="146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</row>
    <row r="886" ht="13.5" customHeight="1">
      <c r="A886" s="145"/>
      <c r="B886" s="182"/>
      <c r="C886" s="145"/>
      <c r="D886" s="146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</row>
    <row r="887" ht="13.5" customHeight="1">
      <c r="A887" s="145"/>
      <c r="B887" s="182"/>
      <c r="C887" s="145"/>
      <c r="D887" s="146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</row>
    <row r="888" ht="13.5" customHeight="1">
      <c r="A888" s="145"/>
      <c r="B888" s="182"/>
      <c r="C888" s="145"/>
      <c r="D888" s="146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</row>
    <row r="889" ht="13.5" customHeight="1">
      <c r="A889" s="145"/>
      <c r="B889" s="182"/>
      <c r="C889" s="145"/>
      <c r="D889" s="146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</row>
    <row r="890" ht="13.5" customHeight="1">
      <c r="A890" s="145"/>
      <c r="B890" s="182"/>
      <c r="C890" s="145"/>
      <c r="D890" s="146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</row>
    <row r="891" ht="13.5" customHeight="1">
      <c r="A891" s="145"/>
      <c r="B891" s="182"/>
      <c r="C891" s="145"/>
      <c r="D891" s="146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</row>
    <row r="892" ht="13.5" customHeight="1">
      <c r="A892" s="145"/>
      <c r="B892" s="182"/>
      <c r="C892" s="145"/>
      <c r="D892" s="146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</row>
    <row r="893" ht="13.5" customHeight="1">
      <c r="A893" s="145"/>
      <c r="B893" s="182"/>
      <c r="C893" s="145"/>
      <c r="D893" s="146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</row>
    <row r="894" ht="13.5" customHeight="1">
      <c r="A894" s="145"/>
      <c r="B894" s="182"/>
      <c r="C894" s="145"/>
      <c r="D894" s="146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</row>
    <row r="895" ht="13.5" customHeight="1">
      <c r="A895" s="145"/>
      <c r="B895" s="182"/>
      <c r="C895" s="145"/>
      <c r="D895" s="146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</row>
    <row r="896" ht="13.5" customHeight="1">
      <c r="A896" s="145"/>
      <c r="B896" s="182"/>
      <c r="C896" s="145"/>
      <c r="D896" s="146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</row>
    <row r="897" ht="13.5" customHeight="1">
      <c r="A897" s="145"/>
      <c r="B897" s="182"/>
      <c r="C897" s="145"/>
      <c r="D897" s="146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</row>
    <row r="898" ht="13.5" customHeight="1">
      <c r="A898" s="145"/>
      <c r="B898" s="182"/>
      <c r="C898" s="145"/>
      <c r="D898" s="146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</row>
    <row r="899" ht="13.5" customHeight="1">
      <c r="A899" s="145"/>
      <c r="B899" s="182"/>
      <c r="C899" s="145"/>
      <c r="D899" s="146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</row>
    <row r="900" ht="13.5" customHeight="1">
      <c r="A900" s="145"/>
      <c r="B900" s="182"/>
      <c r="C900" s="145"/>
      <c r="D900" s="146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</row>
    <row r="901" ht="13.5" customHeight="1">
      <c r="A901" s="145"/>
      <c r="B901" s="182"/>
      <c r="C901" s="145"/>
      <c r="D901" s="146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</row>
    <row r="902" ht="13.5" customHeight="1">
      <c r="A902" s="145"/>
      <c r="B902" s="182"/>
      <c r="C902" s="145"/>
      <c r="D902" s="146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</row>
    <row r="903" ht="13.5" customHeight="1">
      <c r="A903" s="145"/>
      <c r="B903" s="182"/>
      <c r="C903" s="145"/>
      <c r="D903" s="146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</row>
    <row r="904" ht="13.5" customHeight="1">
      <c r="A904" s="145"/>
      <c r="B904" s="182"/>
      <c r="C904" s="145"/>
      <c r="D904" s="146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</row>
    <row r="905" ht="13.5" customHeight="1">
      <c r="A905" s="145"/>
      <c r="B905" s="182"/>
      <c r="C905" s="145"/>
      <c r="D905" s="146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</row>
    <row r="906" ht="13.5" customHeight="1">
      <c r="A906" s="145"/>
      <c r="B906" s="182"/>
      <c r="C906" s="145"/>
      <c r="D906" s="146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</row>
    <row r="907" ht="13.5" customHeight="1">
      <c r="A907" s="145"/>
      <c r="B907" s="182"/>
      <c r="C907" s="145"/>
      <c r="D907" s="146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</row>
    <row r="908" ht="13.5" customHeight="1">
      <c r="A908" s="145"/>
      <c r="B908" s="182"/>
      <c r="C908" s="145"/>
      <c r="D908" s="146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</row>
    <row r="909" ht="13.5" customHeight="1">
      <c r="A909" s="145"/>
      <c r="B909" s="182"/>
      <c r="C909" s="145"/>
      <c r="D909" s="146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</row>
    <row r="910" ht="13.5" customHeight="1">
      <c r="A910" s="145"/>
      <c r="B910" s="182"/>
      <c r="C910" s="145"/>
      <c r="D910" s="146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</row>
    <row r="911" ht="13.5" customHeight="1">
      <c r="A911" s="145"/>
      <c r="B911" s="182"/>
      <c r="C911" s="145"/>
      <c r="D911" s="146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</row>
    <row r="912" ht="13.5" customHeight="1">
      <c r="A912" s="145"/>
      <c r="B912" s="182"/>
      <c r="C912" s="145"/>
      <c r="D912" s="146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</row>
    <row r="913" ht="13.5" customHeight="1">
      <c r="A913" s="145"/>
      <c r="B913" s="182"/>
      <c r="C913" s="145"/>
      <c r="D913" s="146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</row>
    <row r="914" ht="13.5" customHeight="1">
      <c r="A914" s="145"/>
      <c r="B914" s="182"/>
      <c r="C914" s="145"/>
      <c r="D914" s="146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</row>
    <row r="915" ht="13.5" customHeight="1">
      <c r="A915" s="145"/>
      <c r="B915" s="182"/>
      <c r="C915" s="145"/>
      <c r="D915" s="146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</row>
    <row r="916" ht="13.5" customHeight="1">
      <c r="A916" s="145"/>
      <c r="B916" s="182"/>
      <c r="C916" s="145"/>
      <c r="D916" s="146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</row>
    <row r="917" ht="13.5" customHeight="1">
      <c r="A917" s="145"/>
      <c r="B917" s="182"/>
      <c r="C917" s="145"/>
      <c r="D917" s="146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</row>
    <row r="918" ht="13.5" customHeight="1">
      <c r="A918" s="145"/>
      <c r="B918" s="182"/>
      <c r="C918" s="145"/>
      <c r="D918" s="146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</row>
    <row r="919" ht="13.5" customHeight="1">
      <c r="A919" s="145"/>
      <c r="B919" s="182"/>
      <c r="C919" s="145"/>
      <c r="D919" s="146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</row>
    <row r="920" ht="13.5" customHeight="1">
      <c r="A920" s="145"/>
      <c r="B920" s="182"/>
      <c r="C920" s="145"/>
      <c r="D920" s="146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</row>
    <row r="921" ht="13.5" customHeight="1">
      <c r="A921" s="145"/>
      <c r="B921" s="182"/>
      <c r="C921" s="145"/>
      <c r="D921" s="146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</row>
    <row r="922" ht="13.5" customHeight="1">
      <c r="A922" s="145"/>
      <c r="B922" s="182"/>
      <c r="C922" s="145"/>
      <c r="D922" s="146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</row>
    <row r="923" ht="13.5" customHeight="1">
      <c r="A923" s="145"/>
      <c r="B923" s="182"/>
      <c r="C923" s="145"/>
      <c r="D923" s="146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</row>
    <row r="924" ht="13.5" customHeight="1">
      <c r="A924" s="145"/>
      <c r="B924" s="182"/>
      <c r="C924" s="145"/>
      <c r="D924" s="146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</row>
    <row r="925" ht="13.5" customHeight="1">
      <c r="A925" s="145"/>
      <c r="B925" s="182"/>
      <c r="C925" s="145"/>
      <c r="D925" s="146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</row>
    <row r="926" ht="13.5" customHeight="1">
      <c r="A926" s="145"/>
      <c r="B926" s="182"/>
      <c r="C926" s="145"/>
      <c r="D926" s="146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</row>
    <row r="927" ht="13.5" customHeight="1">
      <c r="A927" s="145"/>
      <c r="B927" s="182"/>
      <c r="C927" s="145"/>
      <c r="D927" s="146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</row>
    <row r="928" ht="13.5" customHeight="1">
      <c r="A928" s="145"/>
      <c r="B928" s="182"/>
      <c r="C928" s="145"/>
      <c r="D928" s="146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</row>
    <row r="929" ht="13.5" customHeight="1">
      <c r="A929" s="145"/>
      <c r="B929" s="182"/>
      <c r="C929" s="145"/>
      <c r="D929" s="146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</row>
    <row r="930" ht="13.5" customHeight="1">
      <c r="A930" s="145"/>
      <c r="B930" s="182"/>
      <c r="C930" s="145"/>
      <c r="D930" s="146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</row>
    <row r="931" ht="13.5" customHeight="1">
      <c r="A931" s="145"/>
      <c r="B931" s="182"/>
      <c r="C931" s="145"/>
      <c r="D931" s="146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</row>
    <row r="932" ht="13.5" customHeight="1">
      <c r="A932" s="145"/>
      <c r="B932" s="182"/>
      <c r="C932" s="145"/>
      <c r="D932" s="146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</row>
    <row r="933" ht="13.5" customHeight="1">
      <c r="A933" s="145"/>
      <c r="B933" s="182"/>
      <c r="C933" s="145"/>
      <c r="D933" s="146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</row>
    <row r="934" ht="13.5" customHeight="1">
      <c r="A934" s="145"/>
      <c r="B934" s="182"/>
      <c r="C934" s="145"/>
      <c r="D934" s="146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</row>
    <row r="935" ht="13.5" customHeight="1">
      <c r="A935" s="145"/>
      <c r="B935" s="182"/>
      <c r="C935" s="145"/>
      <c r="D935" s="146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</row>
    <row r="936" ht="13.5" customHeight="1">
      <c r="A936" s="145"/>
      <c r="B936" s="182"/>
      <c r="C936" s="145"/>
      <c r="D936" s="146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</row>
    <row r="937" ht="13.5" customHeight="1">
      <c r="A937" s="145"/>
      <c r="B937" s="182"/>
      <c r="C937" s="145"/>
      <c r="D937" s="146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</row>
    <row r="938" ht="13.5" customHeight="1">
      <c r="A938" s="145"/>
      <c r="B938" s="182"/>
      <c r="C938" s="145"/>
      <c r="D938" s="146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</row>
    <row r="939" ht="13.5" customHeight="1">
      <c r="A939" s="145"/>
      <c r="B939" s="182"/>
      <c r="C939" s="145"/>
      <c r="D939" s="146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</row>
    <row r="940" ht="13.5" customHeight="1">
      <c r="A940" s="145"/>
      <c r="B940" s="182"/>
      <c r="C940" s="145"/>
      <c r="D940" s="146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</row>
    <row r="941" ht="13.5" customHeight="1">
      <c r="A941" s="145"/>
      <c r="B941" s="182"/>
      <c r="C941" s="145"/>
      <c r="D941" s="146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</row>
    <row r="942" ht="13.5" customHeight="1">
      <c r="A942" s="145"/>
      <c r="B942" s="182"/>
      <c r="C942" s="145"/>
      <c r="D942" s="146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</row>
    <row r="943" ht="13.5" customHeight="1">
      <c r="A943" s="145"/>
      <c r="B943" s="182"/>
      <c r="C943" s="145"/>
      <c r="D943" s="146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</row>
    <row r="944" ht="13.5" customHeight="1">
      <c r="A944" s="145"/>
      <c r="B944" s="182"/>
      <c r="C944" s="145"/>
      <c r="D944" s="146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</row>
    <row r="945" ht="13.5" customHeight="1">
      <c r="A945" s="145"/>
      <c r="B945" s="182"/>
      <c r="C945" s="145"/>
      <c r="D945" s="146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</row>
    <row r="946" ht="13.5" customHeight="1">
      <c r="A946" s="145"/>
      <c r="B946" s="182"/>
      <c r="C946" s="145"/>
      <c r="D946" s="146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</row>
    <row r="947" ht="13.5" customHeight="1">
      <c r="A947" s="145"/>
      <c r="B947" s="182"/>
      <c r="C947" s="145"/>
      <c r="D947" s="146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</row>
    <row r="948" ht="13.5" customHeight="1">
      <c r="A948" s="145"/>
      <c r="B948" s="182"/>
      <c r="C948" s="145"/>
      <c r="D948" s="146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</row>
    <row r="949" ht="13.5" customHeight="1">
      <c r="A949" s="145"/>
      <c r="B949" s="182"/>
      <c r="C949" s="145"/>
      <c r="D949" s="146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</row>
    <row r="950" ht="13.5" customHeight="1">
      <c r="A950" s="145"/>
      <c r="B950" s="182"/>
      <c r="C950" s="145"/>
      <c r="D950" s="146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</row>
    <row r="951" ht="13.5" customHeight="1">
      <c r="A951" s="145"/>
      <c r="B951" s="182"/>
      <c r="C951" s="145"/>
      <c r="D951" s="146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</row>
    <row r="952" ht="13.5" customHeight="1">
      <c r="A952" s="145"/>
      <c r="B952" s="182"/>
      <c r="C952" s="145"/>
      <c r="D952" s="146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</row>
    <row r="953" ht="13.5" customHeight="1">
      <c r="A953" s="145"/>
      <c r="B953" s="182"/>
      <c r="C953" s="145"/>
      <c r="D953" s="146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</row>
    <row r="954" ht="13.5" customHeight="1">
      <c r="A954" s="145"/>
      <c r="B954" s="182"/>
      <c r="C954" s="145"/>
      <c r="D954" s="146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</row>
    <row r="955" ht="13.5" customHeight="1">
      <c r="A955" s="145"/>
      <c r="B955" s="182"/>
      <c r="C955" s="145"/>
      <c r="D955" s="146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</row>
    <row r="956" ht="13.5" customHeight="1">
      <c r="A956" s="145"/>
      <c r="B956" s="182"/>
      <c r="C956" s="145"/>
      <c r="D956" s="146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</row>
    <row r="957" ht="13.5" customHeight="1">
      <c r="A957" s="145"/>
      <c r="B957" s="182"/>
      <c r="C957" s="145"/>
      <c r="D957" s="146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</row>
    <row r="958" ht="13.5" customHeight="1">
      <c r="A958" s="145"/>
      <c r="B958" s="182"/>
      <c r="C958" s="145"/>
      <c r="D958" s="146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</row>
    <row r="959" ht="13.5" customHeight="1">
      <c r="A959" s="145"/>
      <c r="B959" s="182"/>
      <c r="C959" s="145"/>
      <c r="D959" s="146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</row>
    <row r="960" ht="13.5" customHeight="1">
      <c r="A960" s="145"/>
      <c r="B960" s="182"/>
      <c r="C960" s="145"/>
      <c r="D960" s="146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</row>
    <row r="961" ht="13.5" customHeight="1">
      <c r="A961" s="145"/>
      <c r="B961" s="182"/>
      <c r="C961" s="145"/>
      <c r="D961" s="146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</row>
    <row r="962" ht="13.5" customHeight="1">
      <c r="A962" s="145"/>
      <c r="B962" s="182"/>
      <c r="C962" s="145"/>
      <c r="D962" s="146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  <c r="AB962" s="145"/>
    </row>
    <row r="963" ht="13.5" customHeight="1">
      <c r="A963" s="145"/>
      <c r="B963" s="182"/>
      <c r="C963" s="145"/>
      <c r="D963" s="146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  <c r="AB963" s="145"/>
    </row>
    <row r="964" ht="13.5" customHeight="1">
      <c r="A964" s="145"/>
      <c r="B964" s="182"/>
      <c r="C964" s="145"/>
      <c r="D964" s="146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</row>
    <row r="965" ht="13.5" customHeight="1">
      <c r="A965" s="145"/>
      <c r="B965" s="182"/>
      <c r="C965" s="145"/>
      <c r="D965" s="146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</row>
    <row r="966" ht="13.5" customHeight="1">
      <c r="A966" s="145"/>
      <c r="B966" s="182"/>
      <c r="C966" s="145"/>
      <c r="D966" s="146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</row>
    <row r="967" ht="13.5" customHeight="1">
      <c r="A967" s="145"/>
      <c r="B967" s="182"/>
      <c r="C967" s="145"/>
      <c r="D967" s="146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</row>
    <row r="968" ht="13.5" customHeight="1">
      <c r="A968" s="145"/>
      <c r="B968" s="182"/>
      <c r="C968" s="145"/>
      <c r="D968" s="146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</row>
    <row r="969" ht="13.5" customHeight="1">
      <c r="A969" s="145"/>
      <c r="B969" s="182"/>
      <c r="C969" s="145"/>
      <c r="D969" s="146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</row>
    <row r="970" ht="13.5" customHeight="1">
      <c r="A970" s="145"/>
      <c r="B970" s="182"/>
      <c r="C970" s="145"/>
      <c r="D970" s="146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</row>
    <row r="971" ht="13.5" customHeight="1">
      <c r="A971" s="145"/>
      <c r="B971" s="182"/>
      <c r="C971" s="145"/>
      <c r="D971" s="146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</row>
    <row r="972" ht="13.5" customHeight="1">
      <c r="A972" s="145"/>
      <c r="B972" s="182"/>
      <c r="C972" s="145"/>
      <c r="D972" s="146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</row>
    <row r="973" ht="13.5" customHeight="1">
      <c r="A973" s="145"/>
      <c r="B973" s="182"/>
      <c r="C973" s="145"/>
      <c r="D973" s="146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</row>
    <row r="974" ht="13.5" customHeight="1">
      <c r="A974" s="145"/>
      <c r="B974" s="182"/>
      <c r="C974" s="145"/>
      <c r="D974" s="146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</row>
    <row r="975" ht="13.5" customHeight="1">
      <c r="A975" s="145"/>
      <c r="B975" s="182"/>
      <c r="C975" s="145"/>
      <c r="D975" s="146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</row>
    <row r="976" ht="13.5" customHeight="1">
      <c r="A976" s="145"/>
      <c r="B976" s="182"/>
      <c r="C976" s="145"/>
      <c r="D976" s="146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</row>
    <row r="977" ht="13.5" customHeight="1">
      <c r="A977" s="145"/>
      <c r="B977" s="182"/>
      <c r="C977" s="145"/>
      <c r="D977" s="146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</row>
    <row r="978" ht="13.5" customHeight="1">
      <c r="A978" s="145"/>
      <c r="B978" s="182"/>
      <c r="C978" s="145"/>
      <c r="D978" s="146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</row>
    <row r="979" ht="13.5" customHeight="1">
      <c r="A979" s="145"/>
      <c r="B979" s="182"/>
      <c r="C979" s="145"/>
      <c r="D979" s="146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</row>
    <row r="980" ht="13.5" customHeight="1">
      <c r="A980" s="145"/>
      <c r="B980" s="182"/>
      <c r="C980" s="145"/>
      <c r="D980" s="146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</row>
    <row r="981" ht="13.5" customHeight="1">
      <c r="A981" s="145"/>
      <c r="B981" s="182"/>
      <c r="C981" s="145"/>
      <c r="D981" s="146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</row>
    <row r="982" ht="13.5" customHeight="1">
      <c r="A982" s="145"/>
      <c r="B982" s="182"/>
      <c r="C982" s="145"/>
      <c r="D982" s="146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</row>
    <row r="983" ht="13.5" customHeight="1">
      <c r="A983" s="145"/>
      <c r="B983" s="182"/>
      <c r="C983" s="145"/>
      <c r="D983" s="146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</row>
    <row r="984" ht="13.5" customHeight="1">
      <c r="A984" s="145"/>
      <c r="B984" s="182"/>
      <c r="C984" s="145"/>
      <c r="D984" s="146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</row>
    <row r="985" ht="13.5" customHeight="1">
      <c r="A985" s="145"/>
      <c r="B985" s="182"/>
      <c r="C985" s="145"/>
      <c r="D985" s="146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</row>
    <row r="986" ht="13.5" customHeight="1">
      <c r="A986" s="145"/>
      <c r="B986" s="182"/>
      <c r="C986" s="145"/>
      <c r="D986" s="146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</row>
    <row r="987" ht="13.5" customHeight="1">
      <c r="A987" s="145"/>
      <c r="B987" s="182"/>
      <c r="C987" s="145"/>
      <c r="D987" s="146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  <c r="AB987" s="145"/>
    </row>
    <row r="988" ht="13.5" customHeight="1">
      <c r="A988" s="145"/>
      <c r="B988" s="182"/>
      <c r="C988" s="145"/>
      <c r="D988" s="146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</row>
    <row r="989" ht="13.5" customHeight="1">
      <c r="A989" s="145"/>
      <c r="B989" s="182"/>
      <c r="C989" s="145"/>
      <c r="D989" s="146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  <c r="AB989" s="145"/>
    </row>
    <row r="990" ht="13.5" customHeight="1">
      <c r="A990" s="145"/>
      <c r="B990" s="182"/>
      <c r="C990" s="145"/>
      <c r="D990" s="146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  <c r="AB990" s="145"/>
    </row>
    <row r="991" ht="13.5" customHeight="1">
      <c r="A991" s="145"/>
      <c r="B991" s="182"/>
      <c r="C991" s="145"/>
      <c r="D991" s="146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  <c r="AB991" s="145"/>
    </row>
    <row r="992" ht="13.5" customHeight="1">
      <c r="A992" s="145"/>
      <c r="B992" s="182"/>
      <c r="C992" s="145"/>
      <c r="D992" s="146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  <c r="AB992" s="145"/>
    </row>
    <row r="993" ht="13.5" customHeight="1">
      <c r="A993" s="145"/>
      <c r="B993" s="182"/>
      <c r="C993" s="145"/>
      <c r="D993" s="146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  <c r="AB993" s="145"/>
    </row>
    <row r="994" ht="13.5" customHeight="1">
      <c r="A994" s="145"/>
      <c r="B994" s="182"/>
      <c r="C994" s="145"/>
      <c r="D994" s="146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  <c r="AB994" s="145"/>
    </row>
    <row r="995" ht="13.5" customHeight="1">
      <c r="A995" s="145"/>
      <c r="B995" s="182"/>
      <c r="C995" s="145"/>
      <c r="D995" s="146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  <c r="AB995" s="145"/>
    </row>
    <row r="996" ht="13.5" customHeight="1">
      <c r="A996" s="145"/>
      <c r="B996" s="182"/>
      <c r="C996" s="145"/>
      <c r="D996" s="146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  <c r="AB996" s="145"/>
    </row>
    <row r="997" ht="13.5" customHeight="1">
      <c r="A997" s="145"/>
      <c r="B997" s="182"/>
      <c r="C997" s="145"/>
      <c r="D997" s="146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  <c r="AB997" s="145"/>
    </row>
    <row r="998" ht="13.5" customHeight="1">
      <c r="A998" s="145"/>
      <c r="B998" s="182"/>
      <c r="C998" s="145"/>
      <c r="D998" s="146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  <c r="AB998" s="145"/>
    </row>
    <row r="999" ht="13.5" customHeight="1">
      <c r="A999" s="145"/>
      <c r="B999" s="182"/>
      <c r="C999" s="145"/>
      <c r="D999" s="146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  <c r="AB999" s="145"/>
    </row>
  </sheetData>
  <mergeCells count="32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A6:B6"/>
    <mergeCell ref="C6:E6"/>
    <mergeCell ref="F6:K6"/>
    <mergeCell ref="L6:N6"/>
    <mergeCell ref="A7:B7"/>
    <mergeCell ref="C7:E7"/>
    <mergeCell ref="F7:K7"/>
    <mergeCell ref="B40:D40"/>
    <mergeCell ref="B41:D41"/>
    <mergeCell ref="B33:D33"/>
    <mergeCell ref="B34:D34"/>
    <mergeCell ref="B35:D35"/>
    <mergeCell ref="B36:D36"/>
    <mergeCell ref="B37:D37"/>
    <mergeCell ref="B38:D38"/>
    <mergeCell ref="B39:D39"/>
  </mergeCells>
  <dataValidations>
    <dataValidation type="list" allowBlank="1" showInputMessage="1" showErrorMessage="1" prompt=" - " sqref="F10:N37">
      <formula1>"O"</formula1>
    </dataValidation>
    <dataValidation type="list" allowBlank="1" showInputMessage="1" showErrorMessage="1" prompt=" - " sqref="F38:N38">
      <formula1>"N,A,B"</formula1>
    </dataValidation>
    <dataValidation type="list" allowBlank="1" showInputMessage="1" showErrorMessage="1" prompt=" - " sqref="F39:N39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