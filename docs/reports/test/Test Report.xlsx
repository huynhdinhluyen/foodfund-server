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s" sheetId="2" r:id="rId5"/>
    <sheet state="visible" name="Test Statistics" sheetId="3" r:id="rId6"/>
    <sheet state="visible" name="Authentication" sheetId="4" r:id="rId7"/>
    <sheet state="visible" name="Profile" sheetId="5" r:id="rId8"/>
    <sheet state="visible" name="Organization" sheetId="6" r:id="rId9"/>
    <sheet state="visible" name="Donation" sheetId="7" r:id="rId10"/>
    <sheet state="visible" name="Wallet" sheetId="8" r:id="rId11"/>
    <sheet state="visible" name="IngredientRequest" sheetId="9" r:id="rId12"/>
    <sheet state="visible" name="OperationRequest" sheetId="10" r:id="rId13"/>
    <sheet state="visible" name="MealBatchRequest" sheetId="11" r:id="rId14"/>
    <sheet state="visible" name="DeliveryTaskRequest" sheetId="12" r:id="rId15"/>
    <sheet state="visible" name="InflowTransaction" sheetId="13" r:id="rId16"/>
    <sheet state="visible" name="Campaign" sheetId="14" r:id="rId17"/>
    <sheet state="visible" name="CampaignCategory" sheetId="15" r:id="rId18"/>
    <sheet state="visible" name="Notification" sheetId="16" r:id="rId19"/>
    <sheet state="visible" name="SystemConfig" sheetId="17" r:id="rId20"/>
    <sheet state="visible" name="ExpenseProof" sheetId="18" r:id="rId21"/>
  </sheets>
  <externalReferences>
    <externalReference r:id="rId22"/>
  </externalReferences>
  <definedNames>
    <definedName localSheetId="0" name="ACTION">#REF!</definedName>
    <definedName name="ACTION">#REF!</definedName>
  </definedNames>
  <calcPr/>
  <extLst>
    <ext uri="GoogleSheetsCustomDataVersion2">
      <go:sheetsCustomData xmlns:go="http://customooxmlschemas.google.com/" r:id="rId23" roundtripDataChecksum="Aa4i6lny+WHZUY2iZNWH6YocmU0yM4qpfyYaYcZLkR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ID#AAABrDq8NL8
    (2025-09-12 02:10:44)
*A: Add
  M: Modify
  D: Delete</t>
      </text>
    </comment>
  </commentList>
  <extLst>
    <ext uri="GoogleSheetsCustomDataVersion2">
      <go:sheetsCustomData xmlns:go="http://customooxmlschemas.google.com/" r:id="rId1" roundtripDataSignature="AMtx7milwVcFzSBlbuP2ZS8PUwx77MMzR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ID#AAABrDq8NMA
tqsang    (2025-09-12 02:10:44)
List all test cases (must run before this case), conditions that must be done, or required state that the system should be in before performing this case</t>
      </text>
    </comment>
  </commentList>
  <extLst>
    <ext uri="GoogleSheetsCustomDataVersion2">
      <go:sheetsCustomData xmlns:go="http://customooxmlschemas.google.com/" r:id="rId1" roundtripDataSignature="AMtx7mixdCt/2N5gIZqWqYrWBsEXXvyUN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ID#AAABrDq8NME
tqsang    (2025-09-12 02:10:44)
List all test cases (must run before this case), conditions that must be done, or required state that the system should be in before performing this case</t>
      </text>
    </comment>
  </commentList>
  <extLst>
    <ext uri="GoogleSheetsCustomDataVersion2">
      <go:sheetsCustomData xmlns:go="http://customooxmlschemas.google.com/" r:id="rId1" roundtripDataSignature="AMtx7mhRWSjJevLEMBgly77e4J3en/dHxg=="/>
    </ext>
  </extLst>
</comments>
</file>

<file path=xl/sharedStrings.xml><?xml version="1.0" encoding="utf-8"?>
<sst xmlns="http://schemas.openxmlformats.org/spreadsheetml/2006/main" count="3344" uniqueCount="1099">
  <si>
    <t>TEST REPORT DOCUMENT</t>
  </si>
  <si>
    <t>Project Name</t>
  </si>
  <si>
    <t>FoodFund</t>
  </si>
  <si>
    <t>Creator</t>
  </si>
  <si>
    <t>PhuocTM</t>
  </si>
  <si>
    <t>Project Code</t>
  </si>
  <si>
    <t>FA25SE52</t>
  </si>
  <si>
    <t>Issue Date</t>
  </si>
  <si>
    <t>30/10/2025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</si>
  <si>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</si>
  <si>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</si>
  <si>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</si>
  <si>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</si>
  <si>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</si>
  <si>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</si>
  <si>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</si>
  <si>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</si>
  <si>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25/11/2025</t>
  </si>
  <si>
    <t>1.0</t>
  </si>
  <si>
    <t>A</t>
  </si>
  <si>
    <t>Add new test</t>
  </si>
  <si>
    <t>30/11/2025</t>
  </si>
  <si>
    <t>1.1</t>
  </si>
  <si>
    <t>Add test case and function</t>
  </si>
  <si>
    <t>TEST CASE LIST</t>
  </si>
  <si>
    <t>FoodFund - A crowdfunding system for food preparation and distribution to support communities in need</t>
  </si>
  <si>
    <t>Test Environment Setup Description</t>
  </si>
  <si>
    <t>1. FoodFund API Server
2. PostgreSQL Server Database
3. Google Chrome Web Browser</t>
  </si>
  <si>
    <t>No</t>
  </si>
  <si>
    <t>Function Name</t>
  </si>
  <si>
    <t>Sheet Name</t>
  </si>
  <si>
    <t>Description</t>
  </si>
  <si>
    <t>Pre-Condition</t>
  </si>
  <si>
    <t>Signin</t>
  </si>
  <si>
    <t>Authentication</t>
  </si>
  <si>
    <t>Signup</t>
  </si>
  <si>
    <t>Forgot password</t>
  </si>
  <si>
    <t>Change password</t>
  </si>
  <si>
    <t>Request to create an organization</t>
  </si>
  <si>
    <t>Organization</t>
  </si>
  <si>
    <t>View list active organizations</t>
  </si>
  <si>
    <t>View organization detail</t>
  </si>
  <si>
    <t>View join request organization</t>
  </si>
  <si>
    <t>View list organization creation requests</t>
  </si>
  <si>
    <t>View my organization</t>
  </si>
  <si>
    <t>Admin approves organization</t>
  </si>
  <si>
    <t>Admin rejects organization</t>
  </si>
  <si>
    <t>Create join organization request</t>
  </si>
  <si>
    <t>Cancel create join organization request</t>
  </si>
  <si>
    <t>Leave organization</t>
  </si>
  <si>
    <t>Create donation</t>
  </si>
  <si>
    <t>Donation</t>
  </si>
  <si>
    <t>View list of campaigns's donation</t>
  </si>
  <si>
    <t>View list of badges</t>
  </si>
  <si>
    <t>Create badge</t>
  </si>
  <si>
    <t>Edit badge</t>
  </si>
  <si>
    <t>Search donation of campaigns</t>
  </si>
  <si>
    <t>Award first time donation badge for donor</t>
  </si>
  <si>
    <t>View system wallet balance</t>
  </si>
  <si>
    <t>Wallet</t>
  </si>
  <si>
    <t>View system wallet transactions</t>
  </si>
  <si>
    <t>View fundraiser wallet statistic</t>
  </si>
  <si>
    <t>View fundraiser wallet transations</t>
  </si>
  <si>
    <t>View list of all fundraiser wallets</t>
  </si>
  <si>
    <t>Download Fundraiser wallet statement</t>
  </si>
  <si>
    <t>Search payment system wallet transaction</t>
  </si>
  <si>
    <t>Create ingredient request</t>
  </si>
  <si>
    <t>IngredientRequest</t>
  </si>
  <si>
    <t>Admin view ingredient request</t>
  </si>
  <si>
    <t>Create operation request</t>
  </si>
  <si>
    <t>OperationRequest</t>
  </si>
  <si>
    <t xml:space="preserve">Admin view operation request list </t>
  </si>
  <si>
    <t>View my operation request</t>
  </si>
  <si>
    <t>Create meal batch</t>
  </si>
  <si>
    <t>MealBatchRequest</t>
  </si>
  <si>
    <t>View meal batch list</t>
  </si>
  <si>
    <t>Update status of meal batch</t>
  </si>
  <si>
    <t>Search meal batch</t>
  </si>
  <si>
    <t>Delivery staff view tasks</t>
  </si>
  <si>
    <t>DeliveryTaskRequest</t>
  </si>
  <si>
    <t>Delivery staff change status tasks</t>
  </si>
  <si>
    <t>Create disbursement request</t>
  </si>
  <si>
    <t>InflowTransaction</t>
  </si>
  <si>
    <t>Admin view list disbursement request</t>
  </si>
  <si>
    <t>View my disbursement request</t>
  </si>
  <si>
    <t>Admin approves disbursement request</t>
  </si>
  <si>
    <t>Admin rejects disbursement request</t>
  </si>
  <si>
    <t>Fundraiser confirm inflow transaction</t>
  </si>
  <si>
    <t>View list of campaigns</t>
  </si>
  <si>
    <t>Campaign</t>
  </si>
  <si>
    <t>View campaign details</t>
  </si>
  <si>
    <t>View related campaigns</t>
  </si>
  <si>
    <t>View organization's account statement</t>
  </si>
  <si>
    <t>Fundraisers edit campaigns</t>
  </si>
  <si>
    <t>Fundraisers delete campaigns</t>
  </si>
  <si>
    <t>Fundraisers extend campaigns</t>
  </si>
  <si>
    <t>Admin approves campaigns</t>
  </si>
  <si>
    <t>Admin rejects campaigns</t>
  </si>
  <si>
    <t>Fundraisers view their campaigns</t>
  </si>
  <si>
    <t>View public disbursement of campaigns</t>
  </si>
  <si>
    <t>View public expense proof of campaigns</t>
  </si>
  <si>
    <t>Direction of campaign</t>
  </si>
  <si>
    <t>View notification</t>
  </si>
  <si>
    <t>Notification</t>
  </si>
  <si>
    <t>Mark as read notification</t>
  </si>
  <si>
    <t>Delete notification</t>
  </si>
  <si>
    <t>Admin view system config</t>
  </si>
  <si>
    <t>SystemConfig</t>
  </si>
  <si>
    <t>Admin edit system config</t>
  </si>
  <si>
    <t>Admin delete system config</t>
  </si>
  <si>
    <t>Upload image expense proof</t>
  </si>
  <si>
    <t>ExpenseProof</t>
  </si>
  <si>
    <t>Create expense proof</t>
  </si>
  <si>
    <t>Admin views expense proof</t>
  </si>
  <si>
    <t>Filter expense proof</t>
  </si>
  <si>
    <t>Admin approves expense proof</t>
  </si>
  <si>
    <t>Admin rejects expense proof</t>
  </si>
  <si>
    <t>View profile details</t>
  </si>
  <si>
    <t>Profile</t>
  </si>
  <si>
    <t>Edit profile details</t>
  </si>
  <si>
    <t>Upload avatar</t>
  </si>
  <si>
    <t>Remove avatar</t>
  </si>
  <si>
    <t>View my badges</t>
  </si>
  <si>
    <t>View categories list</t>
  </si>
  <si>
    <t>CampaignCategory</t>
  </si>
  <si>
    <t xml:space="preserve">Create category </t>
  </si>
  <si>
    <t xml:space="preserve">Update category </t>
  </si>
  <si>
    <t>Delete category</t>
  </si>
  <si>
    <t>TEST STATISTICS</t>
  </si>
  <si>
    <t>Reviewer/Approver</t>
  </si>
  <si>
    <t>Nguyễn Minh Sang</t>
  </si>
  <si>
    <t>Notes</t>
  </si>
  <si>
    <t>Module code</t>
  </si>
  <si>
    <t>Passed</t>
  </si>
  <si>
    <t>Failed</t>
  </si>
  <si>
    <t>Pending</t>
  </si>
  <si>
    <t>N/A</t>
  </si>
  <si>
    <t>Number of  test cases</t>
  </si>
  <si>
    <t>System Config</t>
  </si>
  <si>
    <t>Expense Proof</t>
  </si>
  <si>
    <t>Campaign Category</t>
  </si>
  <si>
    <t>Sub total</t>
  </si>
  <si>
    <t>Test coverage</t>
  </si>
  <si>
    <t>%</t>
  </si>
  <si>
    <t>Test successful coverage</t>
  </si>
  <si>
    <t>Feature</t>
  </si>
  <si>
    <t>Test requirement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</si>
  <si>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</si>
  <si>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</si>
  <si>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</si>
  <si>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</si>
  <si>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</si>
  <si>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</si>
  <si>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</si>
  <si>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</si>
  <si>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</si>
  <si>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</si>
  <si>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</si>
  <si>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</si>
  <si>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</si>
  <si>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Sign In</t>
  </si>
  <si>
    <t>AU1</t>
  </si>
  <si>
    <t>Verify successful sign in with valid donor role credentials</t>
  </si>
  <si>
    <t>1. Navigate to website: https://food-fund.vercel.app/login
2. Input form with values:
- Email: phuoctmse184067@fpt.edu.vn
- Mật khẩu: phuoc9111
3. Click button "Đăng nhập"</t>
  </si>
  <si>
    <t>- Sign in successfully.
- Toast message: "Đăng nhập thành công"
- Navigate to home screen.</t>
  </si>
  <si>
    <t>HoangHLN</t>
  </si>
  <si>
    <t>DuyPCB</t>
  </si>
  <si>
    <t>AU2</t>
  </si>
  <si>
    <t>Verify successful sign in with valid fundraiser role credentials</t>
  </si>
  <si>
    <t>"1. Navigate to website: https://food-fund.vercel.app/login
2. Input form with values:
- Email: hoanghlnse172474@fpt.edu.vn
- Mật khẩu: 123456
3. Click button "Đăng nhập"</t>
  </si>
  <si>
    <t>AU3</t>
  </si>
  <si>
    <t>Verify successful sign in with valid kitchen staff role credentials</t>
  </si>
  <si>
    <t>"1. Navigate to website: https://food-fund.vercel.app/login
2. Input form with values:
- Email: duypcbse184173@fpt.edu.vn
- Mật khẩu: 123123
3. Click button "Đăng nhập"</t>
  </si>
  <si>
    <t>LuyenHD</t>
  </si>
  <si>
    <t>AU4</t>
  </si>
  <si>
    <t>Verify successful sign in with valid delivery staff role credentials</t>
  </si>
  <si>
    <t>"1. Navigate to website: https://food-fund.vercel.app/login
2. Input form with values:
- Email: skyglaze911@gmail.com
- Mật khẩu: 123123
3. Click button "Đăng nhập"</t>
  </si>
  <si>
    <t>AU5</t>
  </si>
  <si>
    <t>Verify successful sign in with valid admin role credentials</t>
  </si>
  <si>
    <t>"1. Navigate to website: https://food-fund.vercel.app/login
2. Input form with values:
- Email: admin@gmail.com
- Mật khẩu: foodfund
3. Click button "Đăng nhập"</t>
  </si>
  <si>
    <t>AU6</t>
  </si>
  <si>
    <t>Verify sign in with invalid email</t>
  </si>
  <si>
    <t>"1. Navigate to website: https://food-fund.vercel.app/login
2. Input form with values:
- Email: rol1@gmail.com
- Mật khẩu: password
3. Click button "Đăng nhập"</t>
  </si>
  <si>
    <t>- System shows toast error message: "Sai tài khoản hoặc mật khẩu"</t>
  </si>
  <si>
    <t>AU7</t>
  </si>
  <si>
    <t>Verify sign in with invalid password</t>
  </si>
  <si>
    <t>1. Navigate to website: https://food-fund.vercel.app/login
2. Input form with values:
- Email: phuoc9111@gmail.com
- Mật khẩu: password12
3. Click button "Đăng nhập"</t>
  </si>
  <si>
    <t>AU8</t>
  </si>
  <si>
    <r>
      <rPr>
        <rFont val="Tahoma"/>
        <color theme="1"/>
        <sz val="10.0"/>
      </rPr>
      <t>Validate min length 6 characters of mật khẩu</t>
    </r>
    <r>
      <rPr>
        <rFont val="Tahoma"/>
        <b/>
        <color theme="1"/>
        <sz val="10.0"/>
      </rPr>
      <t xml:space="preserve"> </t>
    </r>
    <r>
      <rPr>
        <rFont val="Tahoma"/>
        <color theme="1"/>
        <sz val="10.0"/>
      </rPr>
      <t>field</t>
    </r>
  </si>
  <si>
    <t>1. Navigate to website: https://food-fund.vercel.app/login
2. Click "Đăng kí ngay hôm nay"
2. Input form with values:
- Họ và tên: Trương Minh Phước
- Email: phuoctmse184067@fpt.edu.vn
- Mật khẩu: pw
- Xác nhận mật khẩu: pw
3. Click button "Đăng kí tài khoản"</t>
  </si>
  <si>
    <t>- System shows inline error message: "Mật khẩu phải có ít nhất 6 ký tự."</t>
  </si>
  <si>
    <t>AU9</t>
  </si>
  <si>
    <r>
      <rPr>
        <rFont val="Tahoma"/>
        <color theme="1"/>
        <sz val="10.0"/>
      </rPr>
      <t>Validate matching of xác nhận mật khẩu</t>
    </r>
    <r>
      <rPr>
        <rFont val="Tahoma"/>
        <b/>
        <color theme="1"/>
        <sz val="10.0"/>
      </rPr>
      <t xml:space="preserve"> </t>
    </r>
    <r>
      <rPr>
        <rFont val="Tahoma"/>
        <color theme="1"/>
        <sz val="10.0"/>
      </rPr>
      <t>field</t>
    </r>
  </si>
  <si>
    <t>1. Navigate to website: https://food-fund.vercel.app/login
2. Click "Đăng kí ngay hôm nay"
2. Input form with values:
- Họ và tên: Trương Minh Phước
- Email: phuoctmse184067@fpt.edu.vn
- Mật khẩu: 123123
- Xác nhận mật khẩu: pw
3. Click button "Đăng kí tài khoản"</t>
  </si>
  <si>
    <t>- System shows inline error message: "Mật khẩu xác nhận không khớp."</t>
  </si>
  <si>
    <t>AU10</t>
  </si>
  <si>
    <r>
      <rPr>
        <rFont val="Tahoma"/>
        <color theme="1"/>
        <sz val="10.0"/>
      </rPr>
      <t>Validate email type of email</t>
    </r>
    <r>
      <rPr>
        <rFont val="Tahoma"/>
        <b/>
        <color theme="1"/>
        <sz val="10.0"/>
      </rPr>
      <t xml:space="preserve"> </t>
    </r>
    <r>
      <rPr>
        <rFont val="Tahoma"/>
        <color theme="1"/>
        <sz val="10.0"/>
      </rPr>
      <t>field</t>
    </r>
  </si>
  <si>
    <t>1. Navigate to website: https://food-fund.vercel.app/login
2. Click "Đăng kí ngay hôm nay"
2. Input form with values:
- Họ và tên: Trương Minh Phước
- Email: phuoctmse184067!fpt.edu.vn
- Mật khẩu: 123123
- Xác nhận mật khẩu: 123123
3. Click button "Đăng kí tài khoản"</t>
  </si>
  <si>
    <t>- System shows error message in field: "Please provide an @ in email address."</t>
  </si>
  <si>
    <t>Sign Up</t>
  </si>
  <si>
    <t>AU11</t>
  </si>
  <si>
    <t xml:space="preserve">Verify successful sign up </t>
  </si>
  <si>
    <t>1. Navigate to website: https://food-fund.vercel.app/login
2. Click "Đăng kí ngay hôm nay"
2. Input form with values:
- Họ và tên: Trương Minh Phước
- Email: phuoctmse184067@fpt.edu.vn
- Mật khẩu: 123123
- Xác nhận mật khẩu: 123123
3. Click button "Đăng kí tài khoản"</t>
  </si>
  <si>
    <t>- System navigate confirm sign up page
- System send confirm sign up code via email</t>
  </si>
  <si>
    <t>AU12</t>
  </si>
  <si>
    <t>Verify confirm sign up successfully</t>
  </si>
  <si>
    <t>1. Input form with values: 
- Xác nhận mã đăng kí</t>
  </si>
  <si>
    <t>- System navigate to sign in page</t>
  </si>
  <si>
    <t>User must at sign up page before</t>
  </si>
  <si>
    <t>Forgot Password</t>
  </si>
  <si>
    <t>AU13</t>
  </si>
  <si>
    <t>Verify send forgot password code successfully</t>
  </si>
  <si>
    <t>1. Navigate to website: https://food-fund.vercel.app/forgot-password
2. Input form with values:
- Email: phuoc9111@gmail.com
3. Click "Gửi yêu cầu"</t>
  </si>
  <si>
    <t>- System shows toast success message: "Gửi OTP thành công"</t>
  </si>
  <si>
    <t>AU14</t>
  </si>
  <si>
    <r>
      <rPr>
        <rFont val="Tahoma"/>
        <color theme="1"/>
        <sz val="10.0"/>
      </rPr>
      <t>Validate email type of email</t>
    </r>
    <r>
      <rPr>
        <rFont val="Tahoma"/>
        <b/>
        <color theme="1"/>
        <sz val="10.0"/>
      </rPr>
      <t xml:space="preserve"> </t>
    </r>
    <r>
      <rPr>
        <rFont val="Tahoma"/>
        <color theme="1"/>
        <sz val="10.0"/>
      </rPr>
      <t>field</t>
    </r>
  </si>
  <si>
    <t>Change Password</t>
  </si>
  <si>
    <t>AU15</t>
  </si>
  <si>
    <t>Verify change password successfully</t>
  </si>
  <si>
    <t>1. Input form with values: 
- Nhập mã OTP: 123456
- Mật khẩu mới: phuoc9123
- Nhập lại mật khẩu mới: phuoc9123</t>
  </si>
  <si>
    <t>- System shows toast success message: "Thay đổi mật khẩu thành công"</t>
  </si>
  <si>
    <t>User must at forgot password screen</t>
  </si>
  <si>
    <t>Test Profile</t>
  </si>
  <si>
    <t>PF01</t>
  </si>
  <si>
    <t>View Profile Details</t>
  </si>
  <si>
    <t>1. Navigate to /profile.
2. Observe "Hồ sơ cá nhân" tab.</t>
  </si>
  <si>
    <t>- Shows Name, Username, Phone, Email, Role, Address correctly.
- Fields are read-only by default.</t>
  </si>
  <si>
    <t>User logged in.</t>
  </si>
  <si>
    <t>PF02</t>
  </si>
  <si>
    <t>Edit Profile Details</t>
  </si>
  <si>
    <t>1. Click "Chỉnh sửa" button.
2. Edit Name, Phone, Bio, Address.
3. Click "Cập nhật".</t>
  </si>
  <si>
    <t>- Toast success message.
- New details saved and displayed.
- Redux/Header name updates if changed.</t>
  </si>
  <si>
    <t>PF03</t>
  </si>
  <si>
    <t>Upload Avatar</t>
  </si>
  <si>
    <t>1. Click "Chọn ảnh".
2. Upload valid image (JPG/PNG &lt; 5MB).
3. Click "Cập nhật".</t>
  </si>
  <si>
    <t>- Preview updates immediately.
- Avatar saved to S3 and profile updated on save.
- Top sidebar avatar updates.</t>
  </si>
  <si>
    <t>Mode: Editing profile.</t>
  </si>
  <si>
    <t>PF04</t>
  </si>
  <si>
    <t>Remove Avatar</t>
  </si>
  <si>
    <t>1. Enter Edit mode.
2. Hover avatar, click "X".
3. Click "Cập nhật".</t>
  </si>
  <si>
    <t>- Avatar reverts to default placeholder.
- Change persists after reload.</t>
  </si>
  <si>
    <t>User has avatar.</t>
  </si>
  <si>
    <t>PF05</t>
  </si>
  <si>
    <t>View My Badges</t>
  </si>
  <si>
    <t>1. Scroll to Badge section.
2. Click badge card.</t>
  </si>
  <si>
    <t>- Dialog opens showing badge details (Icon, Name, Desc).</t>
  </si>
  <si>
    <t>User has a Badge.</t>
  </si>
  <si>
    <t>PF06</t>
  </si>
  <si>
    <t>Invalid Phone Number</t>
  </si>
  <si>
    <t>1. Enter phone: 123 or abc.
2. Save.</t>
  </si>
  <si>
    <t>- Field border turns red.
- Error text: "Số điện thoại không hợp lệ".
- Save blocked.</t>
  </si>
  <si>
    <t>Edit Mode</t>
  </si>
  <si>
    <t>PF07</t>
  </si>
  <si>
    <t>Required Fields check</t>
  </si>
  <si>
    <t>1. Clear Name.
2. Save.</t>
  </si>
  <si>
    <t>- (If validation exists) Error on Name field.
- (If backend handles) API error toast.</t>
  </si>
  <si>
    <t>PF08</t>
  </si>
  <si>
    <t>Avatar - File Too Large</t>
  </si>
  <si>
    <t>1. Upload &gt; 5MB image.</t>
  </si>
  <si>
    <t>- Toast Error: "Kích thước file không được vượt quá 5MB".</t>
  </si>
  <si>
    <t>Test Organization</t>
  </si>
  <si>
    <t>Register Organization Request</t>
  </si>
  <si>
    <t>OR1</t>
  </si>
  <si>
    <t>Verify donor send request register successfully with all valid input</t>
  </si>
  <si>
    <r>
      <rPr>
        <rFont val="Tahoma"/>
        <color rgb="FF000000"/>
        <sz val="10.0"/>
      </rPr>
      <t xml:space="preserve">1. Navigate to website: </t>
    </r>
    <r>
      <rPr>
        <rFont val="Tahoma"/>
        <color rgb="FF1155CC"/>
        <sz val="10.0"/>
        <u/>
      </rPr>
      <t>https://food-fund.vercel.app/register/organization</t>
    </r>
    <r>
      <rPr>
        <rFont val="Tahoma"/>
        <color rgb="FF000000"/>
        <sz val="10.0"/>
      </rPr>
      <t xml:space="preserve">
2. Fill in all mandatory fields with valid data
3. Click the "Đăng kí Tài Khoản Tổ chức" button.
</t>
    </r>
  </si>
  <si>
    <t xml:space="preserve">- The system successfully processes the registration details
</t>
  </si>
  <si>
    <t>OR2</t>
  </si>
  <si>
    <t>Verify banking information</t>
  </si>
  <si>
    <r>
      <rPr>
        <rFont val="Tahoma"/>
        <color rgb="FF000000"/>
        <sz val="10.0"/>
      </rPr>
      <t xml:space="preserve">1. Navigate to website: </t>
    </r>
    <r>
      <rPr>
        <rFont val="Tahoma"/>
        <color rgb="FF1155CC"/>
        <sz val="10.0"/>
        <u/>
      </rPr>
      <t xml:space="preserve">https://food-fund.vercel.app/register/organization
</t>
    </r>
    <r>
      <rPr>
        <rFont val="Tahoma"/>
        <color rgb="FF000000"/>
        <sz val="10.0"/>
      </rPr>
      <t xml:space="preserve">2. Fill in all mandatory fields with valid data
3. Click the "Check" button.
</t>
    </r>
  </si>
  <si>
    <t xml:space="preserve">-The system successfully show banking infomation </t>
  </si>
  <si>
    <t>OR3</t>
  </si>
  <si>
    <t>Verify identity information</t>
  </si>
  <si>
    <r>
      <rPr>
        <rFont val="Tahoma"/>
        <color rgb="FF000000"/>
        <sz val="10.0"/>
      </rPr>
      <t xml:space="preserve">1. Navigate to website: </t>
    </r>
    <r>
      <rPr>
        <rFont val="Tahoma"/>
        <color rgb="FF1155CC"/>
        <sz val="10.0"/>
        <u/>
      </rPr>
      <t>https://food-fund.vercel.app/register/organization</t>
    </r>
    <r>
      <rPr>
        <rFont val="Tahoma"/>
        <color rgb="FF000000"/>
        <sz val="10.0"/>
      </rPr>
      <t xml:space="preserve">
2. Click "Tải ảnh CCCD/CMND để tự động điền thông tin"
3. Upload identity information front picture
</t>
    </r>
  </si>
  <si>
    <t xml:space="preserve">-The system successfully show identity infomation </t>
  </si>
  <si>
    <t>OR4</t>
  </si>
  <si>
    <t>Validation required fields of register form</t>
  </si>
  <si>
    <t>1. Leave all required fields empty:
   - Tên tổ chức
   - Lĩnh vực hoạt động
   - Số điện thoại
   - Email đại diện
   - Mô tả tổ chức
   - Số tài khoản
   - Mã ngân hàng
   - Tên ngân hàng
2. Attempt to submit the form (click "Đăng ký Tài Khoản Tổ chức").</t>
  </si>
  <si>
    <t>- System shows error messages for each empty required field:
   + "Vui lòng nhập tên tổ chức."
   + "Vui lòng nhập lĩnh vực hoạt động."
   + "Vui lòng nhập số điện thoại."
   + "Vui lòng nhập email đại diện."
   + "Vui lòng nhập mô tả tổ chức." 
   + "Vui lòng nhập số tài khoản."
   + "Vui lòng nhập mã ngân hàng."
   + "Vui lòng nhập tên ngân hàng."
   + "Vui lòng nhập tên chủ tài khoản."</t>
  </si>
  <si>
    <t>OR5</t>
  </si>
  <si>
    <t xml:space="preserve">Validate input of "Email đại diện" field </t>
  </si>
  <si>
    <r>
      <rPr>
        <rFont val="Tahoma"/>
        <sz val="10.0"/>
      </rPr>
      <t xml:space="preserve">1. Navigate to website: </t>
    </r>
    <r>
      <rPr>
        <rFont val="Tahoma"/>
        <color rgb="FF1155CC"/>
        <sz val="10.0"/>
        <u/>
      </rPr>
      <t>https://food-fund.vercel.app/register/organization</t>
    </r>
    <r>
      <rPr>
        <rFont val="Tahoma"/>
        <sz val="10.0"/>
      </rPr>
      <t xml:space="preserve">
2. Input value:
 - Email đại diện</t>
    </r>
  </si>
  <si>
    <t>- System shows error with message: "Email đại diện không hợp lệ."</t>
  </si>
  <si>
    <t>OR6</t>
  </si>
  <si>
    <t xml:space="preserve">Validate input of "Số điện thoại" field </t>
  </si>
  <si>
    <r>
      <rPr>
        <rFont val="Tahoma"/>
        <sz val="10.0"/>
      </rPr>
      <t>1. Navigate to website:</t>
    </r>
    <r>
      <rPr>
        <rFont val="Tahoma"/>
        <color rgb="FF1155CC"/>
        <sz val="10.0"/>
        <u/>
      </rPr>
      <t xml:space="preserve"> https://food-fund.vercel.app/register/organization</t>
    </r>
    <r>
      <rPr>
        <rFont val="Tahoma"/>
        <sz val="10.0"/>
      </rPr>
      <t xml:space="preserve">
2. Input value:
 - Số điện thoại</t>
    </r>
  </si>
  <si>
    <t>- System shows error with message: "Số điện thoại không hợp lệ. Vui lòng nhập số điện thoại Việt Nam (+84 theo sau 9 chữ số)."</t>
  </si>
  <si>
    <t>OR7</t>
  </si>
  <si>
    <t xml:space="preserve">Validate input of "Website" field </t>
  </si>
  <si>
    <r>
      <rPr>
        <rFont val="Tahoma"/>
        <sz val="10.0"/>
      </rPr>
      <t xml:space="preserve">1. Navigate to website: </t>
    </r>
    <r>
      <rPr>
        <rFont val="Tahoma"/>
        <color rgb="FF1155CC"/>
        <sz val="10.0"/>
        <u/>
      </rPr>
      <t>https://food-fund.vercel.app/register/organization</t>
    </r>
    <r>
      <rPr>
        <rFont val="Tahoma"/>
        <sz val="10.0"/>
      </rPr>
      <t xml:space="preserve">
2. Input require field and website value:
   - Tên tổ chức: "Tổ chức thiện nguyện quận 6"
   - Lĩnh vực hoạt động: "Thiện Nguyện"
   - Số điện thoại: "+84901038975"
   - Email đại diện: "thiennguyenquan6@gmail.com"
   - Mô tả tổ chức: "Tổ chức đi thiện nguyện"
   - Số tài khoản: "11111111111111"
   - Mã ngân hàng: VCB
   - Tên ngân hàng: "Ngân hàng TMCP Ngoại thương Việt Nam"
   - Website: "không-phải-url"</t>
    </r>
  </si>
  <si>
    <t>- System shows error with message: "Website phải là dạng URL."</t>
  </si>
  <si>
    <t>Process Organization Creation Request</t>
  </si>
  <si>
    <t>OR8</t>
  </si>
  <si>
    <t>Verify admin reject organization creation request successfully</t>
  </si>
  <si>
    <r>
      <rPr>
        <rFont val="Tahoma"/>
        <sz val="10.0"/>
      </rPr>
      <t xml:space="preserve">1. Navigate to page: </t>
    </r>
    <r>
      <rPr>
        <rFont val="Tahoma"/>
        <color rgb="FF1155CC"/>
        <sz val="10.0"/>
        <u/>
      </rPr>
      <t xml:space="preserve">https://food-fund.vercel.app/admin/organization-requests
</t>
    </r>
    <r>
      <rPr>
        <rFont val="Tahoma"/>
        <sz val="10.0"/>
      </rPr>
      <t xml:space="preserve">2. Choose PENDING organization menu button
3. Click menu button
4. Click "Từ chối" </t>
    </r>
  </si>
  <si>
    <t>- The system successfully show toast message "Đã từ chối yêu cầu tạo tổ chức"</t>
  </si>
  <si>
    <t>OR9</t>
  </si>
  <si>
    <t>Verify admin approve organization creation request successfully</t>
  </si>
  <si>
    <r>
      <rPr>
        <rFont val="Tahoma"/>
        <sz val="10.0"/>
      </rPr>
      <t xml:space="preserve">1. Navigate to page: </t>
    </r>
    <r>
      <rPr>
        <rFont val="Tahoma"/>
        <color rgb="FF1155CC"/>
        <sz val="10.0"/>
        <u/>
      </rPr>
      <t xml:space="preserve">https://food-fund.vercel.app/admin/organization-requests
</t>
    </r>
    <r>
      <rPr>
        <rFont val="Tahoma"/>
        <sz val="10.0"/>
      </rPr>
      <t xml:space="preserve">2. Choose PENDING organization menu button
3. Click menu button
4. Click "Phê duyệt" </t>
    </r>
  </si>
  <si>
    <t>- The system successfully show toast message "Yêu cầu tạo tổ chức được phê duyệt thành công"</t>
  </si>
  <si>
    <t>Leave Organization</t>
  </si>
  <si>
    <t>OR10</t>
  </si>
  <si>
    <t>Verify staff leave organization</t>
  </si>
  <si>
    <r>
      <rPr>
        <rFont val="Tahoma"/>
        <sz val="10.0"/>
      </rPr>
      <t xml:space="preserve">1. Navigate to page: </t>
    </r>
    <r>
      <rPr>
        <rFont val="Tahoma"/>
        <color rgb="FF1155CC"/>
        <sz val="10.0"/>
        <u/>
      </rPr>
      <t>https://food-fund.vercel.app/profile?tab=join_requests</t>
    </r>
    <r>
      <rPr>
        <rFont val="Tahoma"/>
        <sz val="10.0"/>
      </rPr>
      <t xml:space="preserve">
2. Click "Rời tổ chức"</t>
    </r>
  </si>
  <si>
    <t>- The system successfully show toast message "Rời tổ chức thành công"</t>
  </si>
  <si>
    <t>Staff must be signin</t>
  </si>
  <si>
    <t>Test Donation</t>
  </si>
  <si>
    <t xml:space="preserve">Create Donation </t>
  </si>
  <si>
    <t>DO1</t>
  </si>
  <si>
    <t>Verify donor create donation successfully</t>
  </si>
  <si>
    <t>1. Navigate to choose campaign category: https://food-fund.vercel.app/discovery
2. Choose one campaign
3. Click "Ủng hộ" button
4. Click "Đồng ý và tiếp tục"
5. Enter an amount to donate
6. Click "Ủng hộ" button</t>
  </si>
  <si>
    <t>- The system show the transfer donation information
(qr code, bank account, bank number, amount)</t>
  </si>
  <si>
    <t>DO2</t>
  </si>
  <si>
    <t>Verify unauthenticated donor transfer successfully</t>
  </si>
  <si>
    <t>1. Navigate to choose campaign category: https://food-fund.vercel.app/discovery
2. Choose one campaign
3. Click "Ủng hộ" tablist</t>
  </si>
  <si>
    <t>- The system show the donation with information(donor name, amount, transfer date)</t>
  </si>
  <si>
    <t>DO3</t>
  </si>
  <si>
    <t>Verify authenticated donor transfer successfully</t>
  </si>
  <si>
    <t>- The system show the donation with information(donor name, amount, transfer date)
- The system send an email with thank you letter to donor's registered email</t>
  </si>
  <si>
    <t>DO4</t>
  </si>
  <si>
    <t xml:space="preserve">Validate input of "Nhập số tiền ủng hộ" field </t>
  </si>
  <si>
    <t>1. Navigate to choose campaign category: https://food-fund.vercel.app/discovery
2. Choose one campaign
3. Click "Ủng hộ" button
4. Click "Đồng ý và tiếp tục"
5. Enter an amount to donate:
- Số tiền ủng hộ</t>
  </si>
  <si>
    <t>- The system not show the amount of "Số tiền ủng hộ"</t>
  </si>
  <si>
    <t>DO5</t>
  </si>
  <si>
    <t xml:space="preserve">Validate input of "Tên huy hiệu" field </t>
  </si>
  <si>
    <r>
      <rPr>
        <rFont val="Tahoma"/>
        <color rgb="FF000000"/>
        <sz val="10.0"/>
      </rPr>
      <t xml:space="preserve">1. Navigate to </t>
    </r>
    <r>
      <rPr>
        <rFont val="Tahoma"/>
        <color rgb="FF1155CC"/>
        <sz val="10.0"/>
      </rPr>
      <t xml:space="preserve">https://food-fund.vercel.app/admin/badges
</t>
    </r>
    <r>
      <rPr>
        <rFont val="Tahoma"/>
        <color rgb="FF000000"/>
        <sz val="10.0"/>
      </rPr>
      <t>2. Click "Chỉnh sửa" 
3. Leave field "Tên huy hiệu" empty
4. Click "Chỉnh sửa"</t>
    </r>
  </si>
  <si>
    <t>- The system show error toast "Tên huy hiệu không được để trống"</t>
  </si>
  <si>
    <t>DO6</t>
  </si>
  <si>
    <t xml:space="preserve">Validate input of "Mô tả" field </t>
  </si>
  <si>
    <r>
      <rPr>
        <rFont val="Tahoma"/>
        <color rgb="FF000000"/>
        <sz val="10.0"/>
      </rPr>
      <t xml:space="preserve">1. Navigate to </t>
    </r>
    <r>
      <rPr>
        <rFont val="Tahoma"/>
        <color rgb="FF1155CC"/>
        <sz val="10.0"/>
      </rPr>
      <t xml:space="preserve">https://food-fund.vercel.app/admin/badges
</t>
    </r>
    <r>
      <rPr>
        <rFont val="Tahoma"/>
        <color rgb="FF000000"/>
        <sz val="10.0"/>
      </rPr>
      <t>2. Click "Chỉnh sửa" 
3. Leave field "Mô tả" empty
4. Click "Chỉnh sửa"</t>
    </r>
  </si>
  <si>
    <t>- The system show error toast "Mô tả không được để trống"</t>
  </si>
  <si>
    <t>DO7</t>
  </si>
  <si>
    <t xml:space="preserve">Validate input of "Số thứ tự" field </t>
  </si>
  <si>
    <r>
      <rPr>
        <rFont val="Tahoma"/>
        <color rgb="FF000000"/>
        <sz val="10.0"/>
      </rPr>
      <t xml:space="preserve">1. Navigate to </t>
    </r>
    <r>
      <rPr>
        <rFont val="Tahoma"/>
        <color rgb="FF1155CC"/>
        <sz val="10.0"/>
      </rPr>
      <t xml:space="preserve">https://food-fund.vercel.app/admin/badges
</t>
    </r>
    <r>
      <rPr>
        <rFont val="Tahoma"/>
        <color rgb="FF000000"/>
        <sz val="10.0"/>
      </rPr>
      <t>2. Click "Chỉnh sửa" 
3. Enter number 1 at "Số thứ tự"
4. Click "Chỉnh sửa"</t>
    </r>
  </si>
  <si>
    <t>- The system show error toast "Số thứ tự đã có sẵn"</t>
  </si>
  <si>
    <t>Search Donation</t>
  </si>
  <si>
    <t>DO8</t>
  </si>
  <si>
    <t>Search donotion transfer successfully</t>
  </si>
  <si>
    <t>1. Navigate to choose campaign category: https://food-fund.vercel.app/discovery
2. Choose one campaign
3. Click "Ủng hộ" tablist
4. Input donor name or sorting</t>
  </si>
  <si>
    <t>- The system show the match information search donation</t>
  </si>
  <si>
    <t>Badge</t>
  </si>
  <si>
    <t>DO9</t>
  </si>
  <si>
    <t>- The system send an email with system badge and milestone to upgrade badge</t>
  </si>
  <si>
    <t>- Donor must sign in
- Donor has not been donated any campaigns before</t>
  </si>
  <si>
    <t>DO10</t>
  </si>
  <si>
    <t>Upgrade badge for donor</t>
  </si>
  <si>
    <t>- Donor must sign in
- Donor has been donated campaigns before</t>
  </si>
  <si>
    <t>DO11</t>
  </si>
  <si>
    <t>Verify donor received badge successfully</t>
  </si>
  <si>
    <r>
      <rPr>
        <rFont val="Tahoma"/>
        <color rgb="FF000000"/>
        <sz val="10.0"/>
      </rPr>
      <t xml:space="preserve">1. Navigate to donor profile: </t>
    </r>
    <r>
      <rPr>
        <rFont val="Tahoma"/>
        <color rgb="FF1155CC"/>
        <sz val="10.0"/>
      </rPr>
      <t>https://food-fund.vercel.app/profile?tab=profile</t>
    </r>
  </si>
  <si>
    <t>- The system show the information of badge</t>
  </si>
  <si>
    <t>- Donor must sign in</t>
  </si>
  <si>
    <t>DO12</t>
  </si>
  <si>
    <t>Verify admin update badge successfully</t>
  </si>
  <si>
    <r>
      <rPr>
        <rFont val="Tahoma"/>
        <color rgb="FF000000"/>
        <sz val="10.0"/>
      </rPr>
      <t xml:space="preserve">1. Navigate to </t>
    </r>
    <r>
      <rPr>
        <rFont val="Tahoma"/>
        <color rgb="FF1155CC"/>
        <sz val="10.0"/>
      </rPr>
      <t xml:space="preserve">https://food-fund.vercel.app/admin/badges
</t>
    </r>
    <r>
      <rPr>
        <rFont val="Tahoma"/>
        <color rgb="FF000000"/>
        <sz val="10.0"/>
      </rPr>
      <t xml:space="preserve">2. Click "Chỉnh sửa" </t>
    </r>
  </si>
  <si>
    <t>- The system display success toast "Cập nhật huy hiệu thành công"</t>
  </si>
  <si>
    <t>Admin must be signed in</t>
  </si>
  <si>
    <t xml:space="preserve"> </t>
  </si>
  <si>
    <t>Test Wallet</t>
  </si>
  <si>
    <t>Transaction Wallet</t>
  </si>
  <si>
    <t>WA1</t>
  </si>
  <si>
    <t>Verify system store system wallet transactions successfully</t>
  </si>
  <si>
    <r>
      <rPr>
        <rFont val="Tahoma"/>
        <color rgb="FF000000"/>
        <sz val="10.0"/>
      </rPr>
      <t xml:space="preserve">1. Navigate to website: </t>
    </r>
    <r>
      <rPr>
        <rFont val="Tahoma"/>
        <color rgb="FF1155CC"/>
        <sz val="10.0"/>
        <u/>
      </rPr>
      <t>https://food-fund.vercel.app/</t>
    </r>
    <r>
      <rPr>
        <rFont val="Tahoma"/>
        <color rgb="FF000000"/>
        <sz val="10.0"/>
      </rPr>
      <t xml:space="preserve">
2. Scroll down at title "Những con số biết nói"
3. Click "Xem chi tiết giao dịch hệ thống"</t>
    </r>
  </si>
  <si>
    <t>- The system show the latest transaction</t>
  </si>
  <si>
    <t>Donor must donate first</t>
  </si>
  <si>
    <t>26/11/2025</t>
  </si>
  <si>
    <t>WA2</t>
  </si>
  <si>
    <t>Verify system synchronize balance and total income</t>
  </si>
  <si>
    <r>
      <rPr>
        <rFont val="Tahoma"/>
        <color rgb="FF000000"/>
        <sz val="10.0"/>
      </rPr>
      <t xml:space="preserve">1. Navigate to website: </t>
    </r>
    <r>
      <rPr>
        <rFont val="Tahoma"/>
        <color rgb="FF1155CC"/>
        <sz val="10.0"/>
        <u/>
      </rPr>
      <t>https://food-fund.vercel.app/</t>
    </r>
    <r>
      <rPr>
        <rFont val="Tahoma"/>
        <color rgb="FF000000"/>
        <sz val="10.0"/>
      </rPr>
      <t xml:space="preserve">
2. Scroll down at title "Những con số biết nói"
3. Click "Xem chi tiết giao dịch hệ thống"</t>
    </r>
  </si>
  <si>
    <t>- The system show the latest transaction with the information (Số dư trước, số dư sau)</t>
  </si>
  <si>
    <t>WA3</t>
  </si>
  <si>
    <t>Verify system synchronize balance and total expense</t>
  </si>
  <si>
    <r>
      <rPr>
        <rFont val="Tahoma"/>
        <color rgb="FF000000"/>
        <sz val="10.0"/>
      </rPr>
      <t xml:space="preserve">1. Navigate to website: </t>
    </r>
    <r>
      <rPr>
        <rFont val="Tahoma"/>
        <color rgb="FF1155CC"/>
        <sz val="10.0"/>
        <u/>
      </rPr>
      <t>https://food-fund.vercel.app/</t>
    </r>
    <r>
      <rPr>
        <rFont val="Tahoma"/>
        <color rgb="FF000000"/>
        <sz val="10.0"/>
      </rPr>
      <t xml:space="preserve">
2. Scroll down at title "Những con số biết nói"
3. Click "Xem chi tiết giao dịch hệ thống"</t>
    </r>
  </si>
  <si>
    <t>Admin must withdraw first</t>
  </si>
  <si>
    <t>WA4</t>
  </si>
  <si>
    <t>Verify sytem download Fundraiser wallet statement successfully</t>
  </si>
  <si>
    <r>
      <rPr>
        <rFont val="Tahoma"/>
        <color rgb="FF000000"/>
        <sz val="10.0"/>
      </rPr>
      <t xml:space="preserve">1. Navigate to website: </t>
    </r>
    <r>
      <rPr>
        <rFont val="Tahoma"/>
        <color rgb="FF1155CC"/>
        <sz val="10.0"/>
        <u/>
      </rPr>
      <t>https://food-fund.vercel.app/</t>
    </r>
    <r>
      <rPr>
        <rFont val="Tahoma"/>
        <color rgb="FF000000"/>
        <sz val="10.0"/>
      </rPr>
      <t xml:space="preserve">
2. Choose one campaign category 
3. Choose one campaign
4. Click "Xem sao kê tài khoản" button
5. Click "Xuất sao kê" button</t>
    </r>
  </si>
  <si>
    <t>- The system successfully download file excel</t>
  </si>
  <si>
    <t>WA5</t>
  </si>
  <si>
    <t>Search payment system wallet transaction successfully</t>
  </si>
  <si>
    <r>
      <rPr>
        <rFont val="Tahoma"/>
        <color rgb="FF000000"/>
        <sz val="10.0"/>
      </rPr>
      <t xml:space="preserve">1. Navigate to website: </t>
    </r>
    <r>
      <rPr>
        <rFont val="Tahoma"/>
        <color rgb="FF1155CC"/>
        <sz val="10.0"/>
        <u/>
      </rPr>
      <t>https://food-fund.vercel.app/</t>
    </r>
    <r>
      <rPr>
        <rFont val="Tahoma"/>
        <color rgb="FF000000"/>
        <sz val="10.0"/>
      </rPr>
      <t xml:space="preserve">
2. Choose one campaign category 
3. Choose one campaign
4. Click "Xem sao kê tài khoản" button
5. Input in search and sort field</t>
    </r>
  </si>
  <si>
    <t>- The system successfully show the result matching with search input</t>
  </si>
  <si>
    <t>WA6</t>
  </si>
  <si>
    <t>Negative Amount Input</t>
  </si>
  <si>
    <t>1. Open Withdrawal/Filter form.
2. Enter amount: -100000.</t>
  </si>
  <si>
    <t>WA7</t>
  </si>
  <si>
    <t>Zero Amount Input</t>
  </si>
  <si>
    <t>1. Open Withdrawal form.
2. Enter amount: 0.</t>
  </si>
  <si>
    <t>- Validation error: "Số tiền phải lớn hơn 0".</t>
  </si>
  <si>
    <t>WA8</t>
  </si>
  <si>
    <t>Invalid Date Range Filter</t>
  </si>
  <si>
    <t>1. Open Date Filter.
2. Set From Date = 01/01/2025.
3. Set To Date = 01/01/2024 (Before From Date).</t>
  </si>
  <si>
    <t>- Validation error: "Ngày kết thúc phải sau ngày bắt đầu".
- OR Auto-swap dates.
- Search button disabled.</t>
  </si>
  <si>
    <t>Transactions exist.</t>
  </si>
  <si>
    <t>WA9</t>
  </si>
  <si>
    <t>Decimal Amount Handling</t>
  </si>
  <si>
    <t>1. Enter amount with decimals: 50.5.</t>
  </si>
  <si>
    <t>- If VND supports integers only: Error "Vui lòng nhập số nguyên".
- If supported: Accepted correctly.</t>
  </si>
  <si>
    <t xml:space="preserve">N/A	</t>
  </si>
  <si>
    <t>Ingredient Request</t>
  </si>
  <si>
    <t>Test Ingredient Request</t>
  </si>
  <si>
    <t>Request List Management</t>
  </si>
  <si>
    <t>IN01</t>
  </si>
  <si>
    <t>Verify request list page UI display</t>
  </si>
  <si>
    <t>1. Navigate to the ingredient request list page</t>
  </si>
  <si>
    <t>Page displays title "Yêu cầu nguyên liệu", "Quay lại" button, status filter chips, and "Tạo yêu cầu nguyên liệu mới" button</t>
  </si>
  <si>
    <t>User is logged in as Kitchen Staff</t>
  </si>
  <si>
    <t>IN02</t>
  </si>
  <si>
    <t>Verify request card data integrity</t>
  </si>
  <si>
    <t>1. View existing request cards in the list</t>
  </si>
  <si>
    <t>Each card shows short code (e.g., "Yêu cầu #..."), created date, colored status chip, "Tổng chi phí dự kiến", and ingredient summary</t>
  </si>
  <si>
    <t>At least one request exists</t>
  </si>
  <si>
    <t>IN03</t>
  </si>
  <si>
    <t>Verify empty state display</t>
  </si>
  <si>
    <t>1. Open the list page when no data is available</t>
  </si>
  <si>
    <t>Displays heart icon (♡), "Bạn chưa có yêu cầu nguyên liệu nào" message, and "Tạo yêu cầu nguyên liệu" button</t>
  </si>
  <si>
    <t>No requests exist for the phase</t>
  </si>
  <si>
    <t>IN04</t>
  </si>
  <si>
    <t>Verify card navigation</t>
  </si>
  <si>
    <t>1. Tap on any request card</t>
  </si>
  <si>
    <t>System navigates user to the expense proof page with corresponding details</t>
  </si>
  <si>
    <t>Filter &amp; Sort Functions</t>
  </si>
  <si>
    <t>IN05</t>
  </si>
  <si>
    <t>Filter by "Chờ duyệt" status</t>
  </si>
  <si>
    <t>1. Tap the "Chờ duyệt" filter chip</t>
  </si>
  <si>
    <t>Only requests with PENDING status are displayed; the chip shows active styling</t>
  </si>
  <si>
    <t>Multiple requests with different statuses exist</t>
  </si>
  <si>
    <t>IN06</t>
  </si>
  <si>
    <t>Filter by "Đã duyệt" status</t>
  </si>
  <si>
    <t>1. Tap the "Đã duyệt" filter chip</t>
  </si>
  <si>
    <t>Only requests with ACCEPTED status are displayed</t>
  </si>
  <si>
    <t>IN07</t>
  </si>
  <si>
    <t>Filter by "Từ chối" status</t>
  </si>
  <si>
    <t>1. Tap the "Từ chối" filter chip</t>
  </si>
  <si>
    <t>Only requests with REJECTED status are displayed</t>
  </si>
  <si>
    <t>IN08</t>
  </si>
  <si>
    <t>Sort by newest/oldest</t>
  </si>
  <si>
    <t>1. Select "Mới nhất" or "Cũ nhất" sort option</t>
  </si>
  <si>
    <t>Requests are sorted correctly by creation date (descending for "Mới nhất", ascending for "Cũ nhất")</t>
  </si>
  <si>
    <t>Multiple requests with different dates exist</t>
  </si>
  <si>
    <t>Phase Selection Logic</t>
  </si>
  <si>
    <t>IN09</t>
  </si>
  <si>
    <t>Verify budget info display by phase</t>
  </si>
  <si>
    <t>1. Select a phase with an assigned budget</t>
  </si>
  <si>
    <t>The "Ngân sách nguyên liệu giai đoạn" box correctly updates to the selected phase's budget amount</t>
  </si>
  <si>
    <t>Selected phase has a budget &gt; 0</t>
  </si>
  <si>
    <t>IN10</t>
  </si>
  <si>
    <t>Verify auto-fill from plan</t>
  </si>
  <si>
    <t>1. Select a phase containing planned ingredients</t>
  </si>
  <si>
    <t>Ingredient items are automatically generated with the "Từ kế hoạch" badge</t>
  </si>
  <si>
    <t>Phase has plannedIngredients data</t>
  </si>
  <si>
    <t>IN11</t>
  </si>
  <si>
    <t>Verify phase change updates items</t>
  </si>
  <si>
    <t>1. Switch from one phase to another</t>
  </si>
  <si>
    <t>The existing item list is cleared and replaced by the new phase's planned ingredients</t>
  </si>
  <si>
    <t>Multiple phases with different plans exist</t>
  </si>
  <si>
    <t>Item Ingredient Management</t>
  </si>
  <si>
    <t>IN12</t>
  </si>
  <si>
    <t>Manually add new ingredient item</t>
  </si>
  <si>
    <t>1. Tap "+ Thêm nguyên liệu mới"</t>
  </si>
  <si>
    <t>A new blank ingredient block is added to the list with default unit set to "kg"</t>
  </si>
  <si>
    <t>User is on the form page</t>
  </si>
  <si>
    <t>IN13</t>
  </si>
  <si>
    <t>Remove ingredient item</t>
  </si>
  <si>
    <t>1. Tap the "Xóa" button on an item</t>
  </si>
  <si>
    <t>Item is removed from the list; the total cost in the summary bar recalculates instantly</t>
  </si>
  <si>
    <t>At least 2 items exist in the list</t>
  </si>
  <si>
    <t>IN14</t>
  </si>
  <si>
    <t>Unit selection via Modal</t>
  </si>
  <si>
    <t>1. Tap the unit dropdown.
2. Select a unit (e.g., "lít")</t>
  </si>
  <si>
    <t>The "Chọn đơn vị" modal displays all 5 groups; selected unit updates on the field and modal closes</t>
  </si>
  <si>
    <t>IN15</t>
  </si>
  <si>
    <t>Auto-calculation of item total</t>
  </si>
  <si>
    <t>1. Enter "Số lượng" (e.g., 5). 
2. Enter "Đơn giá ước tính" (e.g., 10000)</t>
  </si>
  <si>
    <t>"Thành tiền ước tính" automatically updates to show "50,000"</t>
  </si>
  <si>
    <t>Quantity and unit price are valid numbers</t>
  </si>
  <si>
    <t>Submission &amp; Validation</t>
  </si>
  <si>
    <t>IN16</t>
  </si>
  <si>
    <t>Mandatory field validation</t>
  </si>
  <si>
    <t>1. Leave any required field empty (e.g., "Tên nguyên liệu"). 
2. Tap "Gửi yêu cầu nguyên liệu"</t>
  </si>
  <si>
    <t>System shows Alert "Thiếu thông tin": "Vui lòng điền đầy đủ tất cả các trường."</t>
  </si>
  <si>
    <t>One or more required fields are empty</t>
  </si>
  <si>
    <t>IN17</t>
  </si>
  <si>
    <t>Budget matching validation</t>
  </si>
  <si>
    <t>1. Enter a total cost that does not match the phase budget. 
2. Tap "Gửi yêu cầu nguyên liệu"</t>
  </si>
  <si>
    <t>System shows Alert "Sai số tiền" stating total cost must match the phase budget exactly</t>
  </si>
  <si>
    <t>Phase budget is greater than 0</t>
  </si>
  <si>
    <t>IN18</t>
  </si>
  <si>
    <t>Successful request submission</t>
  </si>
  <si>
    <t>1. Fill all valid data. 
2. Ensure total cost matches budget. 
3. Tap "Gửi yêu cầu nguyên liệu"</t>
  </si>
  <si>
    <t>Button shows "Đang gửi...", then Alert "Thành công" appears and user is navigated to the list page</t>
  </si>
  <si>
    <t>All input data is valid and budget is matched</t>
  </si>
  <si>
    <t>IN19</t>
  </si>
  <si>
    <t>Kiểm tra khớp ngân sách giai đoạn</t>
  </si>
  <si>
    <t>1. Nhập tổng chi phí khác với ngân sách phase. 
2. Nhấn Gửi</t>
  </si>
  <si>
    <t>Hiển thị Alert "Sai số tiền" thông báo tổng chi phí phải bằng đúng ngân sách</t>
  </si>
  <si>
    <t>Ngân sách giai đoạn &gt; 0</t>
  </si>
  <si>
    <t>IN20</t>
  </si>
  <si>
    <t>Gửi yêu cầu thành công</t>
  </si>
  <si>
    <t>1. Điền đủ thông tin hợp lệ. 
2. Tổng tiền khớp ngân sách. 
3. Nhấn Gửi</t>
  </si>
  <si>
    <t>Nút chuyển sang "Đang gửi...", hiện Alert thành công và quay về trang danh sách</t>
  </si>
  <si>
    <t>Dữ liệu đầu vào hợp lệ</t>
  </si>
  <si>
    <t>Operation Request</t>
  </si>
  <si>
    <t>Test Operation Request</t>
  </si>
  <si>
    <t>Create Operation Request</t>
  </si>
  <si>
    <t>OP1</t>
  </si>
  <si>
    <t>Verify phase selection changes selected state</t>
  </si>
  <si>
    <t>1. Open operation request form
2. Tap on a different phase chip</t>
  </si>
  <si>
    <t>Selected phase chip shows active styling (orange background, white text), previously selected chip returns to normal styling</t>
  </si>
  <si>
    <t>Multiple phases available</t>
  </si>
  <si>
    <t>OP2</t>
  </si>
  <si>
    <t>Verify expense type selection between COOKING and DELIVERY</t>
  </si>
  <si>
    <t>1. Open operation request form
2. Select "Nấu ăn" expense type
3. Select "Vận chuyển" expense type</t>
  </si>
  <si>
    <t>Selected expense type chip shows active styling, budget info updates to match selected type</t>
  </si>
  <si>
    <t>Form is open with phases</t>
  </si>
  <si>
    <t>OP3</t>
  </si>
  <si>
    <t>Verify budget display changes when switching expense type</t>
  </si>
  <si>
    <t>1. Select a phase
2. Select "Nấu ăn" expense type
3. Select "Vận chuyển" expense type</t>
  </si>
  <si>
    <t>Budget box displays cookingFundsAmount when "Nấu ăn" is selected, displays deliveryFundsAmount when "Vận chuyển" is selected</t>
  </si>
  <si>
    <t>Phase has both cooking and delivery budget</t>
  </si>
  <si>
    <t>OP4</t>
  </si>
  <si>
    <t>Verify total cost auto-fills from budget</t>
  </si>
  <si>
    <t>1. Open form for phase with budget
2. Select expense type with budget &gt; 0</t>
  </si>
  <si>
    <t>Tổng chi phí field automatically fills with the budget amount</t>
  </si>
  <si>
    <t>Phase has budget for selected expense type</t>
  </si>
  <si>
    <t>OP5</t>
  </si>
  <si>
    <t>Verify total cost updates when switching phase</t>
  </si>
  <si>
    <t>1. Select phase A with cooking budget 100,000
2. Select phase B with cooking budget 200,000</t>
  </si>
  <si>
    <t>Tổng chi phí field updates from 100,000 to 200,000</t>
  </si>
  <si>
    <t>Multiple phases with different budgets</t>
  </si>
  <si>
    <t>OP6</t>
  </si>
  <si>
    <t>Verify total cost updates when switching expense type</t>
  </si>
  <si>
    <t>1. Select phase with cooking budget 100,000 and delivery budget 50,000
2. Switch from "Nấu ăn" to "Vận chuyển"</t>
  </si>
  <si>
    <t>Tổng chi phí field updates from 100,000 to 50,000</t>
  </si>
  <si>
    <t>Phase has different budgets for cooking and delivery</t>
  </si>
  <si>
    <t>OP7</t>
  </si>
  <si>
    <t>Verify currency formatting in total cost field</t>
  </si>
  <si>
    <t>Enter "1000000" in total cost field</t>
  </si>
  <si>
    <t>Field displays "1.000.000" with thousand separators</t>
  </si>
  <si>
    <t>User is editing total cost</t>
  </si>
  <si>
    <t>OP8</t>
  </si>
  <si>
    <t>Verify back button navigation from form</t>
  </si>
  <si>
    <t>1. Open operation request form
2. Tap back button (‹)</t>
  </si>
  <si>
    <t>User is navigated back to the previous screen</t>
  </si>
  <si>
    <t>User is on form page</t>
  </si>
  <si>
    <t>OP9</t>
  </si>
  <si>
    <t>Verify "Xem danh sách yêu cầu của tôi" button navigation</t>
  </si>
  <si>
    <t>1. Open operation request form
2. Tap "Xem danh sách yêu cầu của tôi" button</t>
  </si>
  <si>
    <t>User is navigated to operation requests list page</t>
  </si>
  <si>
    <t>OP10</t>
  </si>
  <si>
    <t>Verify back button navigation from list page</t>
  </si>
  <si>
    <t>1. Open operation requests list page
2. Tap back button (‹)</t>
  </si>
  <si>
    <t>User is on list page</t>
  </si>
  <si>
    <t>OP11</t>
  </si>
  <si>
    <t>Verify loading indicator on form submission</t>
  </si>
  <si>
    <t>1. Fill all required fields
2. Tap "Tạo yêu cầu" button</t>
  </si>
  <si>
    <t>Loading indicator displays with message "Đang gửi yêu cầu..."</t>
  </si>
  <si>
    <t>Form is valid</t>
  </si>
  <si>
    <t>OP12</t>
  </si>
  <si>
    <t>Verify loading indicator on list page</t>
  </si>
  <si>
    <t>Open operation requests list page</t>
  </si>
  <si>
    <t>Loading indicator displays with message "Đang tải danh sách..." while data is loading</t>
  </si>
  <si>
    <t>User navigates to list page</t>
  </si>
  <si>
    <t>Validate Operation Data</t>
  </si>
  <si>
    <t>OP13</t>
  </si>
  <si>
    <t>Verify validation - no phase selected</t>
  </si>
  <si>
    <t>1. Do not select any phase (no phases available)
2. Fill other required fields3. Tap "Tạo yêu cầu" button</t>
  </si>
  <si>
    <t>Tạo yêu cầu button is disabled when no phases available</t>
  </si>
  <si>
    <t>No phases are passed to form</t>
  </si>
  <si>
    <t>OP14</t>
  </si>
  <si>
    <t>Verify validation - empty title</t>
  </si>
  <si>
    <t>1. Clear "Tiêu đề" field (leave empty or whitespace only)
2. Fill other required fields
3. Tap "Tạo yêu cầu" button</t>
  </si>
  <si>
    <t>Alert displays with title "Lỗi" and message "Vui lòng nhập tiêu đề."</t>
  </si>
  <si>
    <t>Phase is selected, total cost is valid</t>
  </si>
  <si>
    <t>OP15</t>
  </si>
  <si>
    <t>Verify validation - empty total cost</t>
  </si>
  <si>
    <t>1. Clear "Tổng chi phí" field completely
2. Fill other required fields
3. Tap "Tạo yêu cầu" button</t>
  </si>
  <si>
    <t>Alert displays with title "Lỗi" and message "Tổng chi phí phải là số lớn hơn 0."</t>
  </si>
  <si>
    <t>Phase is selected, title is filled</t>
  </si>
  <si>
    <t>OP16</t>
  </si>
  <si>
    <t>Verify validation - total cost is zero</t>
  </si>
  <si>
    <t>1. Enter "0" in "Tổng chi phí" field
2. Fill other required fields
3. Tap "Tạo yêu cầu" button</t>
  </si>
  <si>
    <t>OP17</t>
  </si>
  <si>
    <t>Verify validation - total cost only accepts numbers</t>
  </si>
  <si>
    <t>1. Try to enter letters "abc" in "Tổng chi phí" field</t>
  </si>
  <si>
    <t>Field only accepts numeric digits, non-numeric characters are ignored</t>
  </si>
  <si>
    <t>OP18</t>
  </si>
  <si>
    <t>Verify validation - title with only whitespace</t>
  </si>
  <si>
    <t>1. Enter " " (only spaces) in "Tiêu đề" field
2. Fill other required fields
3. Tap "Tạo yêu cầu" button</t>
  </si>
  <si>
    <t>OP19</t>
  </si>
  <si>
    <t>Verify successful form submission</t>
  </si>
  <si>
    <t>1. Select a phase
2. Select expense type
3. Enter title "Chi phí nấu ăn"
4. Enter valid total cost
5. Tap "Tạo yêu cầu" button</t>
  </si>
  <si>
    <t>Alert displays with title "Thành công" and message "Đã tạo yêu cầu giải ngân.", after tapping "OK" user is navigated to operation requests list page</t>
  </si>
  <si>
    <t>All fields are valid</t>
  </si>
  <si>
    <t>OP20</t>
  </si>
  <si>
    <t>Verify error handling on submission failure</t>
  </si>
  <si>
    <t>1. Fill all required fields correctly
2. Simulate network error
3. Tap "Tạo yêu cầu" button</t>
  </si>
  <si>
    <t>Alert displays with title "Lỗi" and error message from server or "Không thể tạo yêu cầu giải ngân."</t>
  </si>
  <si>
    <t>Network error occurs</t>
  </si>
  <si>
    <t>OP21</t>
  </si>
  <si>
    <t>Verify button disabled while submitting</t>
  </si>
  <si>
    <t>Tạo yêu cầu button becomes disabled (opacity reduced) while request is being processed to prevent double submission</t>
  </si>
  <si>
    <t>OP22</t>
  </si>
  <si>
    <t>Verify no phases available message</t>
  </si>
  <si>
    <t>Open form without passing phases parameter</t>
  </si>
  <si>
    <t>Giai đoạn chiến dịch section shows text "Không có giai đoạn nào được truyền vào.", "Tạo yêu cầu" button is disabled</t>
  </si>
  <si>
    <t>No phases passed to form</t>
  </si>
  <si>
    <t>Meal Batch Request</t>
  </si>
  <si>
    <t>Test Meal Batch Request</t>
  </si>
  <si>
    <t>Create Meal Batch</t>
  </si>
  <si>
    <t>MB1</t>
  </si>
  <si>
    <t>Verify phase selection</t>
  </si>
  <si>
    <t>1. Open meal batch form
2. Tap on a different phase chip</t>
  </si>
  <si>
    <t>Selected phase shows "Đang chọn" tag, phase dot changes to orange color, plannedIngredients list updates to match selected phase</t>
  </si>
  <si>
    <t>MB2</t>
  </si>
  <si>
    <t>Verify ingredient selection toggle</t>
  </si>
  <si>
    <t>1. Tap on an ingredient row in list</t>
  </si>
  <si>
    <t>Row shows "Đã chọn" badge when selected, badge count updates to show number of selected ingredients (e.g., "1 đã chọn"), tapping again deselects the ingredient</t>
  </si>
  <si>
    <t>PlannedIngredients exist for phase</t>
  </si>
  <si>
    <t>MB3</t>
  </si>
  <si>
    <t>Verify media picker dialog opens</t>
  </si>
  <si>
    <t>1. Tap "Chụp ảnh / Chọn ảnh, video" button</t>
  </si>
  <si>
    <t>Alert dialog opens with three options: "Chụp từ camera", "Chọn từ thư viện", and "Hủy"</t>
  </si>
  <si>
    <t>MB4</t>
  </si>
  <si>
    <t>Verify camera capture</t>
  </si>
  <si>
    <t>1. Tap "Chụp ảnh / Chọn ảnh, video"
2. Select "Chụp từ camera"
3. Capture an image</t>
  </si>
  <si>
    <t>Image is added to selected files list, file chip shows file name and type (JPG/PNG)</t>
  </si>
  <si>
    <t>Camera permission granted</t>
  </si>
  <si>
    <t>MB5</t>
  </si>
  <si>
    <t>Verify gallery selection</t>
  </si>
  <si>
    <t>1. Tap "Chụp ảnh / Chọn ảnh, video"
2. Select "Chọn từ thư viện"
3. Select up to 5 files</t>
  </si>
  <si>
    <t>Selected files appear as chips showing file name and type, list is limited to maximum 5 files</t>
  </si>
  <si>
    <t>Media library permission granted</t>
  </si>
  <si>
    <t>MB6</t>
  </si>
  <si>
    <t>Verify search functionality in list</t>
  </si>
  <si>
    <t>1. Open meal batch list with multiple batches
2. Enter search text in "Tìm theo tên suất ăn..." field</t>
  </si>
  <si>
    <t>List filters to show only meal batches whose food name contains the search text (case-insensitive)</t>
  </si>
  <si>
    <t>Multiple meal batches exist</t>
  </si>
  <si>
    <t>MB7</t>
  </si>
  <si>
    <t>Verify meal batch card tap navigation</t>
  </si>
  <si>
    <t>1. Tap on a meal batch card</t>
  </si>
  <si>
    <t>User is navigated to meal batch detail page with correct mealBatchId and campaignId parameters</t>
  </si>
  <si>
    <t>At least one meal batch exists</t>
  </si>
  <si>
    <t>Update Meal Batch Status</t>
  </si>
  <si>
    <t>MB8</t>
  </si>
  <si>
    <t>Verify update status to READY</t>
  </si>
  <si>
    <t>1. Tap "Cập nhật trạng thái" button on a meal batch card
2. Confirm by tapping "OK" in the dialog</t>
  </si>
  <si>
    <t>Alert confirms with message 'Đánh dấu mẻ "..." đã sẵn sàng (READY)?', after OK, meal batch status updates to READY in the list, loading indicator shows during update</t>
  </si>
  <si>
    <t>Meal batch is not yet READY</t>
  </si>
  <si>
    <t>MB9</t>
  </si>
  <si>
    <t>Verify status label translation in detail page</t>
  </si>
  <si>
    <t>1. View detail page with different statuses</t>
  </si>
  <si>
    <t>READY displays as "Đã sẵn sàng", "PREPARING" displays as "Đang chuẩn bị", "DELIVERED" displays as "Đã giao"</t>
  </si>
  <si>
    <t>Meal batch exists</t>
  </si>
  <si>
    <t>MB10</t>
  </si>
  <si>
    <t>Verify image zoom in detail page</t>
  </si>
  <si>
    <t>1. Open meal batch detail with images
2. Tap on any image thumbnail</t>
  </si>
  <si>
    <t>Full-screen image viewer opens with dark background, zoomed image is displayed, "Đóng" button appears below image</t>
  </si>
  <si>
    <t>Meal batch has media images</t>
  </si>
  <si>
    <t>MB11</t>
  </si>
  <si>
    <t>Verify close image zoom</t>
  </si>
  <si>
    <t>1. Open zoomed image view
2. Tap "Đóng" button or tap outside the image</t>
  </si>
  <si>
    <t>Image zoom overlay closes, returns to detail page view</t>
  </si>
  <si>
    <t>Image zoom is open</t>
  </si>
  <si>
    <t>MB12</t>
  </si>
  <si>
    <t>Verify "Xem danh sách suất ăn" button navigation</t>
  </si>
  <si>
    <t>1. Open meal batch form
2. Tap "Xem danh sách suất ăn" button</t>
  </si>
  <si>
    <t>User is navigated to meal batch list page with correct campaignId and campaignPhaseId parameters</t>
  </si>
  <si>
    <t>Validate Create Meal Batch Data</t>
  </si>
  <si>
    <t>MB13</t>
  </si>
  <si>
    <t>Verify validation - empty food name</t>
  </si>
  <si>
    <t>1. Leave "Tên suất ăn" field empty
2. Fill other required fields
3. Tap "Tạo suất ăn" button</t>
  </si>
  <si>
    <t>Alert displays with title "Thiếu thông tin" and message "Vui lòng nhập tên suất ăn."</t>
  </si>
  <si>
    <t>Other required fields are filled</t>
  </si>
  <si>
    <t>MB14</t>
  </si>
  <si>
    <t>Verify validation - empty quantity</t>
  </si>
  <si>
    <t>1. Leave "Số lượng suất ăn" field empty
2. Fill other required fields
3. Tap "Tạo suất ăn" button</t>
  </si>
  <si>
    <t>Alert displays with title "Thiếu thông tin" and message "Vui lòng nhập số lượng hợp lệ."</t>
  </si>
  <si>
    <t>MB15</t>
  </si>
  <si>
    <t>Verify validation - invalid quantity (zero or negative)</t>
  </si>
  <si>
    <t>1. Enter "0" or negative number in "Số lượng suất ăn" field
2. Fill other required fields
3. Tap "Tạo suất ăn" button</t>
  </si>
  <si>
    <t>MB16</t>
  </si>
  <si>
    <t>Verify validation - no ingredients selected</t>
  </si>
  <si>
    <t>1. Do not select any ingredients from list
2. Fill other required fields
3. Tap "Tạo suất ăn" button</t>
  </si>
  <si>
    <t>Alert displays with title "Thiếu nguyên liệu" and message "Vui lòng chọn ít nhất một nguyên liệu từ danh sách."</t>
  </si>
  <si>
    <t>PlannedIngredients exist, other fields filled</t>
  </si>
  <si>
    <t>MB17</t>
  </si>
  <si>
    <t>1. Ensure no phase is selected (phases list is empty)
2. Fill other fields
3. Tap "Tạo suất ăn" button</t>
  </si>
  <si>
    <t>Alert displays with title "Thiếu thông tin" and message "Vui lòng chọn phase của chiến dịch."</t>
  </si>
  <si>
    <t>No phases available</t>
  </si>
  <si>
    <t>MB18</t>
  </si>
  <si>
    <t>1. Select a phase
2. Enter food name "Cơm gà từ thiện"
3. Enter quantity "100"
4. Select at least one ingredient
5. Optionally add media files
6. Tap "Tạo suất ăn" button</t>
  </si>
  <si>
    <t>Loading indicator appears on button, success alert with title "Thành công" and message "Đã tạo suất ăn." displays, after OK user is navigated to meal batch list page</t>
  </si>
  <si>
    <t>All required fields are valid</t>
  </si>
  <si>
    <t>MB19</t>
  </si>
  <si>
    <t>1. Fill all required fields correctly
2. Simulate network error
3. Tap "Tạo suất ăn" button</t>
  </si>
  <si>
    <t>Alert displays with title "Lỗi" and error message from server or "Không thể tạo suất ăn, vui lòng thử lại sau."</t>
  </si>
  <si>
    <t>MB20</t>
  </si>
  <si>
    <t>Verify error handling on status update failure</t>
  </si>
  <si>
    <t>1. Tap "Cập nhật trạng thái" button
2. Confirm in dialog
3. Simulate network error</t>
  </si>
  <si>
    <t>Alert displays with title "Lỗi" and message "Không cập nhật được trạng thái suất ăn." or server error message</t>
  </si>
  <si>
    <t>Network error occurs during update</t>
  </si>
  <si>
    <t>Delivery Task Request</t>
  </si>
  <si>
    <t>Test Delivery Task Request</t>
  </si>
  <si>
    <t>View Delivery Task</t>
  </si>
  <si>
    <t>DT1</t>
  </si>
  <si>
    <t>1. Open delivery orders page</t>
  </si>
  <si>
    <t>Loading indicator displays with message "Đang tải đơn giao hàng..." while data is loading</t>
  </si>
  <si>
    <t>DT2</t>
  </si>
  <si>
    <t>Verify back button navigation from list</t>
  </si>
  <si>
    <t>1. Open delivery orders page
2. Tap back button</t>
  </si>
  <si>
    <t>DT3</t>
  </si>
  <si>
    <t>Verify task card tap navigation to detail</t>
  </si>
  <si>
    <t>1. Tap on a delivery task card</t>
  </si>
  <si>
    <t>User is navigated to delivery task detail page with correct taskId parameter</t>
  </si>
  <si>
    <t>At least one task exists</t>
  </si>
  <si>
    <t>Change Delivery Task Status</t>
  </si>
  <si>
    <t>DT4</t>
  </si>
  <si>
    <t>Verify accept delivery task (PENDING to ACCEPTED)</t>
  </si>
  <si>
    <t>1. View task with PENDING status
2. Tap "Nhận đơn" button</t>
  </si>
  <si>
    <t>Button shows "Đang xử lý..." while processing, after success the status chip updates to show "Đã nhận" with yellow background, button changes to "Bắt đầu giao"</t>
  </si>
  <si>
    <t>Task with PENDING status exists</t>
  </si>
  <si>
    <t>DT5</t>
  </si>
  <si>
    <t>Verify reject delivery task (PENDING to REJECTED)</t>
  </si>
  <si>
    <t>1. View task with PENDING status
2. Tap "Từ chối" button</t>
  </si>
  <si>
    <t>Button is disabled while processing, after success the status chip updates to show "Đã từ chối" with red background, action buttons disappear</t>
  </si>
  <si>
    <t>DT6</t>
  </si>
  <si>
    <t>Verify start delivery (ACCEPTED to OUT_FOR_DELIVERY)</t>
  </si>
  <si>
    <t>1. View task with ACCEPTED status
2. Tap "Bắt đầu giao" button</t>
  </si>
  <si>
    <t>Button shows "Đang xử lý..." while processing, after success the status chip updates to show "Đang giao" with blue background, button changes to "Hoàn thành"</t>
  </si>
  <si>
    <t>Task with ACCEPTED status exists</t>
  </si>
  <si>
    <t>DT7</t>
  </si>
  <si>
    <t>Verify complete delivery (OUT_FOR_DELIVERY to COMPLETED)</t>
  </si>
  <si>
    <t>1. View task with OUT_FOR_DELIVERY status
2. Tap "Hoàn thành" button</t>
  </si>
  <si>
    <t>Button shows "Đang xử lý..." while processing, after success the status chip updates to show "Hoàn thành" with green background, action buttons disappear</t>
  </si>
  <si>
    <t>Task with OUT_FOR_DELIVERY status exists</t>
  </si>
  <si>
    <t>DT8</t>
  </si>
  <si>
    <t>Verify button disabled while updating</t>
  </si>
  <si>
    <t>1. Tap any action button on a task card</t>
  </si>
  <si>
    <t>Button opacity reduces, button becomes disabled, cannot tap on other action buttons until current update completes</t>
  </si>
  <si>
    <t>Task with actionable status exists</t>
  </si>
  <si>
    <t>DT9</t>
  </si>
  <si>
    <t>Verify detail page displays correctly</t>
  </si>
  <si>
    <t>1. Navigate to detail page for a task</t>
  </si>
  <si>
    <t>Page displays: header "Chi tiết đơn giao", order ID "Đơn giao #..." (first 8 chars), "Trạng thái" with status value, "Tạo lúc" and "Cập nhật lúc" with formatted dates</t>
  </si>
  <si>
    <t>Task exists</t>
  </si>
  <si>
    <t>DT10</t>
  </si>
  <si>
    <t>Verify detail page shows delivery staff info</t>
  </si>
  <si>
    <t>1. View detail page for task with assigned delivery staff</t>
  </si>
  <si>
    <t>Nhân viên giao hàng label shows with staff's full name</t>
  </si>
  <si>
    <t>Task has deliveryStaff assigned</t>
  </si>
  <si>
    <t>Validate Delivery Task Data</t>
  </si>
  <si>
    <t>DT11</t>
  </si>
  <si>
    <t>Verify detail page shows meal batch info</t>
  </si>
  <si>
    <t>1. View detail page for task with meal batch info</t>
  </si>
  <si>
    <t>Suất ăn label shows with format "{foodName} ({quantity} suất)"</t>
  </si>
  <si>
    <t>Task has mealBatch info</t>
  </si>
  <si>
    <t>DT12</t>
  </si>
  <si>
    <t>Verify status logs history displays</t>
  </si>
  <si>
    <t>1. View detail page for task with status history</t>
  </si>
  <si>
    <t>Lịch sử trạng thái card displays, each log shows: status in orange color, date/time and changedBy in gray, note if available</t>
  </si>
  <si>
    <t>Task has statusLogs</t>
  </si>
  <si>
    <t>DT13</t>
  </si>
  <si>
    <t>Verify date formatting in Vietnamese locale</t>
  </si>
  <si>
    <t>1. View task card with created_at date
2. View detail page with created_at and updated_at</t>
  </si>
  <si>
    <t>All dates formatted using Vietnamese locale (dd/mm/yyyy format with time)</t>
  </si>
  <si>
    <t>Tasks with date data exist</t>
  </si>
  <si>
    <t>DT14</t>
  </si>
  <si>
    <t>Verify loading indicator on detail page</t>
  </si>
  <si>
    <t>1. Navigate to detail page</t>
  </si>
  <si>
    <t>Loading indicator displays with message "Đang tải chi tiết đơn giao..." while data is loading</t>
  </si>
  <si>
    <t>User navigates to detail page</t>
  </si>
  <si>
    <t>DT15</t>
  </si>
  <si>
    <t>Verify error handling when taskId is missing</t>
  </si>
  <si>
    <t>1. Navigate to detail page without taskId parameter</t>
  </si>
  <si>
    <t>Error message displays "Thiếu mã đơn giao hàng."</t>
  </si>
  <si>
    <t>No taskId provided in params</t>
  </si>
  <si>
    <t>DT16</t>
  </si>
  <si>
    <t>Verify error handling when task not found</t>
  </si>
  <si>
    <t>1. Navigate to detail page with invalid taskId</t>
  </si>
  <si>
    <t>Error message displays "Không tải được chi tiết đơn giao hàng." or server error message</t>
  </si>
  <si>
    <t>Invalid or non-existent taskId</t>
  </si>
  <si>
    <t>DT17</t>
  </si>
  <si>
    <t>Verify back button navigation from detail page</t>
  </si>
  <si>
    <t>1. Open detail page
2. Tap back button</t>
  </si>
  <si>
    <t>User is navigated back to the previous screen (delivery orders list)</t>
  </si>
  <si>
    <t>User is on detail page</t>
  </si>
  <si>
    <t>DT18</t>
  </si>
  <si>
    <t>Verify no action buttons for COMPLETED/REJECTED status</t>
  </si>
  <si>
    <t>1. View task with COMPLETED status2. View task with REJECTED status</t>
  </si>
  <si>
    <t>No action buttons are displayed for tasks in these final states</t>
  </si>
  <si>
    <t>Tasks with COMPLETED or REJECTED status exist</t>
  </si>
  <si>
    <t>Inflow Transaction</t>
  </si>
  <si>
    <t>Test Inflow Transaction</t>
  </si>
  <si>
    <t>Approve Operation Request</t>
  </si>
  <si>
    <t>IT01</t>
  </si>
  <si>
    <t>Admin approval automatically creates an inflow transaction</t>
  </si>
  <si>
    <t>1. Staff creates an operation request with total cost (e.g., 20,000 VND).
2. Admin opens the request details page.
3. Admin selects “Approve”.</t>
  </si>
  <si>
    <t>- Operation request changes status: PENDING → APPROVED → DISBURSED.
- A new inflow_transaction record is created with:
+ operation_request_id linking to the request
+ campaign_phase_id
+ receiver_id = the fundraiser
+ amount = total cost
+ Initial status: PENDING/PROCESSING
- Admin is prompted to upload transfer proof or may add it later.</t>
  </si>
  <si>
    <t>IT02</t>
  </si>
  <si>
    <t>Admin attaches transfer proof to inflow transaction</t>
  </si>
  <si>
    <t>1. Log in as Admin and open a transaction waiting for proof.
2. Upload transfer receipt or enter transaction reference.
3. Save.</t>
  </si>
  <si>
    <t>- Proof field in the inflow transaction is updated.
- Transaction status becomes Completed / Transferred.
- Fundraiser is notified that funds have been sent.</t>
  </si>
  <si>
    <t>Transaction already exists</t>
  </si>
  <si>
    <t>IT03</t>
  </si>
  <si>
    <t>Fundraiser flags inflow transaction as not received</t>
  </si>
  <si>
    <t>1. Fundraiser logs in and opens “My Disbursement Requests”.
2. Selects a transaction marked as transferred.
3. Clicks “Failed”.
4. Confirms the action.</t>
  </si>
  <si>
    <t>- UI displays status “Reported / Not received”.
- Admin is notified to review the issue.</t>
  </si>
  <si>
    <t>Transaction already marked as transferred by admin.</t>
  </si>
  <si>
    <t>IT04</t>
  </si>
  <si>
    <t>Confirming received funds updates wallet balance</t>
  </si>
  <si>
    <t>1. Fundraiser opens a transaction that has been transferred.
2. Clicks “Received”.</t>
  </si>
  <si>
    <t>- Transaction status updates to Received.
- System creates a wallet_transaction:
- Type: INCOMING_TRANSFER
- Amount = inflow amount
- balance_after = balance_before + amount
- Fundraiser wallet balance increases accordingly.
- “Received” button is disabled or removed afterward.</t>
  </si>
  <si>
    <t>Fundraiser has an existing wallet.
Inflow transaction is in transferred state.</t>
  </si>
  <si>
    <t>Transaction Data Validation</t>
  </si>
  <si>
    <t>IT05</t>
  </si>
  <si>
    <t>Validate that “Title” is required for operation requests</t>
  </si>
  <si>
    <t>1. Staff opens the “Create Request” form.
2. Leaves the Title field empty.
3. Enters valid Total Cost (e.g., 10,000).
4. Clicks “Create Request”.</t>
  </si>
  <si>
    <t>- Form does not submit.
- Error message appears: “This field is required.”
- No operation request is created.</t>
  </si>
  <si>
    <t>Staff has permission to create requests.</t>
  </si>
  <si>
    <t>IT06</t>
  </si>
  <si>
    <t>Validate total cost cannot exceed budget limit</t>
  </si>
  <si>
    <t>1. Open the request form where category budget = 20,000 VND.
2. Enter a valid Title.
3. Enter Total Cost = 25,000 VND.
4. Click “Create Request”.</t>
  </si>
  <si>
    <t>- Form is rejected.
- Error displayed:
- “Total cost cannot exceed the budget limit (20,000 VND).”
- No new request is created.</t>
  </si>
  <si>
    <t>IT07</t>
  </si>
  <si>
    <t>Validate Total Cost must be &gt; 0 and numeric</t>
  </si>
  <si>
    <t>Scenario A – Enter 0
1. Enter a valid Title.
2. Enter Total Cost = 0.
3. Click “Create Request”.
Scenario B – Enter non-numeric characters
4. Enter Total Cost = “abc” or “20k”.</t>
  </si>
  <si>
    <t>- Scenario A: Error message “Amount must be greater than 0.”
- Scenario B: Error message “Invalid amount. Please enter a number.”
- No request is created in both cases.</t>
  </si>
  <si>
    <t>IT08</t>
  </si>
  <si>
    <t>Create Inflow - Missing Proof</t>
  </si>
  <si>
    <t>1. Open dialog.
2. Enter amount but NO image.
3. Submit.</t>
  </si>
  <si>
    <t>- Validation error: "Vui lòng tải lên minh chứng".
- Submit button disabled or blocked.</t>
  </si>
  <si>
    <t>IT09</t>
  </si>
  <si>
    <t>Max File Size Validation</t>
  </si>
  <si>
    <t>- Upload 10MB image.</t>
  </si>
  <si>
    <t>- Error: "File quá lớn (max 5MB)".</t>
  </si>
  <si>
    <t>Large file (&gt;5MB).</t>
  </si>
  <si>
    <t>IT10</t>
  </si>
  <si>
    <t>Validate Budget Limit Exceeded</t>
  </si>
  <si>
    <t>- Create request with amount &gt; budget.</t>
  </si>
  <si>
    <t>- Error: "Total cost cannot exceed the budget limit".</t>
  </si>
  <si>
    <t>Phase budget limit exists.</t>
  </si>
  <si>
    <t>Test Campaign</t>
  </si>
  <si>
    <t>Process Campaign</t>
  </si>
  <si>
    <t>CA1</t>
  </si>
  <si>
    <t>Validate tab switching between “Giải ngân” and “Chi phí”.</t>
  </si>
  <si>
    <t>1. Click Giải ngân tab.
2. Observe disbursement items.
3. Click Chi phí tab.</t>
  </si>
  <si>
    <t>- “Giải ngân” shows inflow transactions.
- “Chi phí” shows expense requests with receipts.
- No incorrect data from other tabs is displayed.</t>
  </si>
  <si>
    <t>CA2</t>
  </si>
  <si>
    <t>Validate "Chỉ đường" button functionality.</t>
  </si>
  <si>
    <t>Click “Chỉ đường” button on sidebar.</t>
  </si>
  <si>
    <t>- Redirects to Google Maps / Map provider
- Coordinates match campaign's stored address (e.g., Quận 3, Thủ Đức, etc.)</t>
  </si>
  <si>
    <t>CA3</t>
  </si>
  <si>
    <t>Validate “Xem sao kê tài khoản” link functionality.</t>
  </si>
  <si>
    <t>Click Xem sao kê tài khoản → under organization name.</t>
  </si>
  <si>
    <t>- Redirects to organization transparency profile.
- Profile displays:
- Account number
- Transaction statements
- Organization info</t>
  </si>
  <si>
    <t>CA4</t>
  </si>
  <si>
    <t>Verify "Edit" Permission</t>
  </si>
  <si>
    <t>Click on their campaigns</t>
  </si>
  <si>
    <t>- "Edit" button is visible and working.
- Hidden for others.</t>
  </si>
  <si>
    <t>- Logged in as Fundraiser
- Campaign is PENDING status</t>
  </si>
  <si>
    <t>CA5</t>
  </si>
  <si>
    <t>Verify "Delete" functionality</t>
  </si>
  <si>
    <t>- "Delete" button is visible and working.
- Hidden for others.</t>
  </si>
  <si>
    <t>CA6</t>
  </si>
  <si>
    <t>Verify "Extend" functionality</t>
  </si>
  <si>
    <t>- Logged in as Fundraiser
- End date fundraising of campaign is smaller or equal 7 days</t>
  </si>
  <si>
    <t>CA7</t>
  </si>
  <si>
    <t>Verify "Change campaign status" functionality</t>
  </si>
  <si>
    <t>Click on tab "Yêu cầu tạo chiến dịch"</t>
  </si>
  <si>
    <t>- Show list of campaign creation request
- Approve/reject button working</t>
  </si>
  <si>
    <t>- Logged in as Admin</t>
  </si>
  <si>
    <t>CA8</t>
  </si>
  <si>
    <t>Ensure UI shows correct status once fundraising is finished.</t>
  </si>
  <si>
    <t>Open a campaign with end date &lt; current date.</t>
  </si>
  <si>
    <t>- Button shows “Đang trong quá trình vận hành” (disabled).
- Time remaining shows 0.</t>
  </si>
  <si>
    <t>CA9</t>
  </si>
  <si>
    <t>Validate search input rules.</t>
  </si>
  <si>
    <t>1. Open Ủng hộ tab.
2. Enter invalid characters (e.g., !@#$%^).</t>
  </si>
  <si>
    <t>- System does NOT crash.
- Returns “Không tìm thấy kết quả” gracefully.</t>
  </si>
  <si>
    <t>CA10</t>
  </si>
  <si>
    <t>Validate system behavior when no disbursement data exists.</t>
  </si>
  <si>
    <t>Open Giải ngân tab on a campaign with no inflow.</t>
  </si>
  <si>
    <t>- Show empty state message: “Chưa có dữ liệu giải ngân”.
- No broken UI or console errors.</t>
  </si>
  <si>
    <t>CA11</t>
  </si>
  <si>
    <t>Validate receipt image rendering and fallback.</t>
  </si>
  <si>
    <t>Create a cost request missing image link or with invalid URL.
Open Chi phí tab.</t>
  </si>
  <si>
    <t>- Displays placeholder (e.g., “Không có hình ảnh”).
- UI must not break layout.</t>
  </si>
  <si>
    <t>CA12</t>
  </si>
  <si>
    <t>Validate routing and error page.</t>
  </si>
  <si>
    <r>
      <rPr>
        <rFont val="Tahoma"/>
        <sz val="10.0"/>
      </rPr>
      <t xml:space="preserve">Enter an invalid campaign URL manually: </t>
    </r>
    <r>
      <rPr>
        <rFont val="Tahoma"/>
        <color rgb="FF1155CC"/>
        <sz val="10.0"/>
        <u/>
      </rPr>
      <t>https://food-fund.vercel.app/campaign/invalid-id-123</t>
    </r>
    <r>
      <rPr>
        <rFont val="Tahoma"/>
        <sz val="10.0"/>
      </rPr>
      <t xml:space="preserve">
</t>
    </r>
  </si>
  <si>
    <t>- System displays 404-like page or “Chiến dịch không tồn tại”.
-  UI stays consistent without breaking.</t>
  </si>
  <si>
    <t>CA13</t>
  </si>
  <si>
    <t>Check URL Routing (Slug vs ID)</t>
  </si>
  <si>
    <t>1. Access via UUID: /campaign/123e...
2. Access via Title Slug: /campaign/ho-tro-suat-an</t>
  </si>
  <si>
    <t>- Both URLs load the exact same campaign content.
- Slug works correctly even with special characters/Vietnamese.</t>
  </si>
  <si>
    <t>CA14</t>
  </si>
  <si>
    <t>Currency Formatting</t>
  </si>
  <si>
    <t>Campaign has target amount &gt; 1000.</t>
  </si>
  <si>
    <t>- Inspect "Mục tiêu" (Target) &amp; "Đã nhận" (Received).</t>
  </si>
  <si>
    <t>CA15</t>
  </si>
  <si>
    <t>Date &amp; Time Formatting</t>
  </si>
  <si>
    <t>1. Inspect "Mốc thời gian" (Timeline).
2. Check Timeline status labels.</t>
  </si>
  <si>
    <t>Start/End dates exist.</t>
  </si>
  <si>
    <t>CA16</t>
  </si>
  <si>
    <t>Funding Progress Calculation</t>
  </si>
  <si>
    <t>1. Verify Progress Bar text.
2. Verify visual width.</t>
  </si>
  <si>
    <t>Target = 100, Received = 50.</t>
  </si>
  <si>
    <t>CA17</t>
  </si>
  <si>
    <t>Funding Calculation - Zero Target</t>
  </si>
  <si>
    <t>- View campaign with 0 target (if possible).</t>
  </si>
  <si>
    <t>Target = 0 or missing.</t>
  </si>
  <si>
    <t>CA18</t>
  </si>
  <si>
    <t>Countdown Timer Accuracy</t>
  </si>
  <si>
    <t>- Compare "Remaining" days with calendar.</t>
  </si>
  <si>
    <t>End date is in future.</t>
  </si>
  <si>
    <t>CA19</t>
  </si>
  <si>
    <t>Budget Breakdown consistency</t>
  </si>
  <si>
    <t>- Sum up Ingredient + Cooking + Delivery %.</t>
  </si>
  <si>
    <t>Campaign has phases with budget %.</t>
  </si>
  <si>
    <t>CA20</t>
  </si>
  <si>
    <t>Null/Empty Values Handling</t>
  </si>
  <si>
    <t>1. API response with null amount.
2. View Campaign Detail.</t>
  </si>
  <si>
    <t>- System defaults value to 0.
- No NaN or undefined displayed.
- Page renders without crashing.</t>
  </si>
  <si>
    <t>API returns null for numeric fields 
(e.g., receivedAmount).</t>
  </si>
  <si>
    <t>CA21</t>
  </si>
  <si>
    <t>Large Number Handling</t>
  </si>
  <si>
    <t>1. Create/Mock campaign with target 99,000,000,000.
2. Inspect Header Stats.</t>
  </si>
  <si>
    <t>- Number is formatted correctly (e.g., 99.000.000.000 đ).
- Does not break layout or overflow containers.
- Progress calculation remains accurate.</t>
  </si>
  <si>
    <t>Target amount is extremely large
 (e.g., 99 billion).</t>
  </si>
  <si>
    <t>Test Campaign Category</t>
  </si>
  <si>
    <t>CC05</t>
  </si>
  <si>
    <t>View Categories List</t>
  </si>
  <si>
    <t>1. Navigate to /admin/categories.</t>
  </si>
  <si>
    <t>- List of categories displayed.
- Columns: Title, Description, Campaign Count, Actions.
- Stats loaded correctly.</t>
  </si>
  <si>
    <t>Admin Logged in.</t>
  </si>
  <si>
    <t>CC06</t>
  </si>
  <si>
    <t>Create Category - Success</t>
  </si>
  <si>
    <t>1. Click "Thêm Danh mục".
2. Enter unique Title &amp; Description.
3. Click "Submit/Thêm".</t>
  </si>
  <si>
    <t>- Toast success message.
- Dialog closes.
- New category appears in list.</t>
  </si>
  <si>
    <t>CC07</t>
  </si>
  <si>
    <t>Update Category - Success</t>
  </si>
  <si>
    <t>1. Click "Edit" (Pencil) on a category.
2. Modify Title/Description.
3. Click "Update/Cập nhật".</t>
  </si>
  <si>
    <t>- Toast success message.
- Dialog closes.
- List updates with new details.</t>
  </si>
  <si>
    <t>Category exists.</t>
  </si>
  <si>
    <t>CC08</t>
  </si>
  <si>
    <t>Delete Category - Success</t>
  </si>
  <si>
    <t>1. Click "Delete" (Trash) on a category.
2. Confirm dialog.
3. Wait for API.</t>
  </si>
  <si>
    <t>- Toast success "Xóa danh mục thành công".
- Category removed from list.</t>
  </si>
  <si>
    <t>Category has 0 campaigns.</t>
  </si>
  <si>
    <t>CC09</t>
  </si>
  <si>
    <t xml:space="preserve">Delete Category - Failed </t>
  </si>
  <si>
    <t>1. Try to delete a category with &gt; 0 campaigns.</t>
  </si>
  <si>
    <t>- Toast/Error "Xóa thất bại" (or specific API error).
- Category remains in list.</t>
  </si>
  <si>
    <t>Category utilized by campaigns.</t>
  </si>
  <si>
    <t>CC10</t>
  </si>
  <si>
    <t>Refresh List</t>
  </si>
  <si>
    <t>1. Click "Làm mới" (Refresh) button.</t>
  </si>
  <si>
    <t>- Loading spinner appears.
- Data re-fetched from API.</t>
  </si>
  <si>
    <t>CC11</t>
  </si>
  <si>
    <t>Required Fields Create</t>
  </si>
  <si>
    <t>1. Leave Title/Descr empty.
2. Click Submit.</t>
  </si>
  <si>
    <t>- UI error red text.
- Form not submitted.</t>
  </si>
  <si>
    <t>Create Dialog Open.</t>
  </si>
  <si>
    <t>CC12</t>
  </si>
  <si>
    <t>Required Fields Edit</t>
  </si>
  <si>
    <t>1. Clear Title.
2. Click Update.</t>
  </si>
  <si>
    <t>- Validation error shown.
- Form not submitted.</t>
  </si>
  <si>
    <t>Edit Dialog Open.</t>
  </si>
  <si>
    <t>CC13</t>
  </si>
  <si>
    <t>Trim Whitespace</t>
  </si>
  <si>
    <t>1. Enter " New Category ".
2. Submit.</t>
  </si>
  <si>
    <t>- Saved as "New Category" (trimmed).</t>
  </si>
  <si>
    <t>Create/Edit.</t>
  </si>
  <si>
    <t>Test Notification</t>
  </si>
  <si>
    <t>Process Notification</t>
  </si>
  <si>
    <t>NOTI06</t>
  </si>
  <si>
    <t>Open Notification Popover</t>
  </si>
  <si>
    <t>1. Click "Bell" icon in header.</t>
  </si>
  <si>
    <t>- Popover opens.
- Loading spinner appears temporarily.
- List of notifications is displayed.</t>
  </si>
  <si>
    <t>Logged in user</t>
  </si>
  <si>
    <t>NOTI07</t>
  </si>
  <si>
    <t>View Unread Count</t>
  </si>
  <si>
    <t>1. Observe "Bell" icon.</t>
  </si>
  <si>
    <t>- Red badge shows correct count (e.g., "5").
- If count &gt; 99, shows "99+".</t>
  </si>
  <si>
    <t>User has unread notifications.</t>
  </si>
  <si>
    <t>NOTI08</t>
  </si>
  <si>
    <t>Mark All As Read</t>
  </si>
  <si>
    <t>1. Open Popover.
2. Click "Đánh dấu tất cả" (Mark all).</t>
  </si>
  <si>
    <t>- Toast: "Đã đánh dấu tất cả là đã đọc".
- Unread Badge disappears.
- All items in list lose blue background highlight.</t>
  </si>
  <si>
    <t>User has &gt;0 unread notifications.</t>
  </si>
  <si>
    <t>NOTI09</t>
  </si>
  <si>
    <t>Read Individual Notification</t>
  </si>
  <si>
    <t>1. Observe items.</t>
  </si>
  <si>
    <t>- Unread items have blue background.
- Read items have white/gray background.</t>
  </si>
  <si>
    <t>NOTI10</t>
  </si>
  <si>
    <t>Delete Notification</t>
  </si>
  <si>
    <t>1. Open Popover.
2. Click "Trash" icon on an item.</t>
  </si>
  <si>
    <t>- Toast: "Đã xóa thông báo".
- Item is removed from the list immediately.</t>
  </si>
  <si>
    <t>Notifications exist.</t>
  </si>
  <si>
    <t>NOTI11</t>
  </si>
  <si>
    <t>Auto-refresh Count</t>
  </si>
  <si>
    <t>1. Wait 30 seconds.</t>
  </si>
  <si>
    <t>- Unread count badge updates automatically without refresh.</t>
  </si>
  <si>
    <t>New notification arrives.</t>
  </si>
  <si>
    <t>NOTI12</t>
  </si>
  <si>
    <t>Empty State</t>
  </si>
  <si>
    <t>1. Open Popover.</t>
  </si>
  <si>
    <t>- Shows message "Không có thông báo".
- No list items.</t>
  </si>
  <si>
    <t>User has 0 notifications.</t>
  </si>
  <si>
    <t>NOTI13</t>
  </si>
  <si>
    <t>JSON Data Parsing</t>
  </si>
  <si>
    <t>1. Trigger notification with text-only data.
2. Trigger notification with JSON object data.</t>
  </si>
  <si>
    <t>- Text-only: Displays string directly.
- JSON: Displays message property correctly.
- No [object Object] errors.</t>
  </si>
  <si>
    <t>Check varied data structures.</t>
  </si>
  <si>
    <t>Test System Config</t>
  </si>
  <si>
    <t>Process System Config</t>
  </si>
  <si>
    <t>SC06</t>
  </si>
  <si>
    <t>View System Configs List</t>
  </si>
  <si>
    <t>1. Navigate to "System Configs" page.</t>
  </si>
  <si>
    <t>- List loads successfully.
- Columns: Key, Value, Description, Data Type, Updated At.</t>
  </si>
  <si>
    <t>SC07</t>
  </si>
  <si>
    <t>Edit System Config</t>
  </si>
  <si>
    <t>1. Click "Action" -&gt; "Edit" on a row.
2. Change Value &amp; Description.
3. Click "Save".</t>
  </si>
  <si>
    <t>- Dialog closes.
- Toast: "Cập nhật cấu hình thành công".
- New value is reflected in the table.</t>
  </si>
  <si>
    <t>Config exists.</t>
  </si>
  <si>
    <t>SC08</t>
  </si>
  <si>
    <t>Delete System Config</t>
  </si>
  <si>
    <t>1. Click "Action" -&gt; "Delete" on a row.
2. Confirm "Delete" in alert dialog.</t>
  </si>
  <si>
    <t>- Alert dialog closes.
- Toast: "Xóa cấu hình thành công".
- Row is removed from table.</t>
  </si>
  <si>
    <t>SC09</t>
  </si>
  <si>
    <t>1. Click "Refresh" button.</t>
  </si>
  <si>
    <t>- Loading spinner appears.
- Data reloads from server.</t>
  </si>
  <si>
    <t>SC10</t>
  </si>
  <si>
    <t>Empty List State</t>
  </si>
  <si>
    <t>1. Clear DB configs.
2. Load page.</t>
  </si>
  <si>
    <t>- Table shows "Không có dữ liệu cấu hình".</t>
  </si>
  <si>
    <t>No configs in DB.</t>
  </si>
  <si>
    <t>SC11</t>
  </si>
  <si>
    <t>Edit with Empty Value</t>
  </si>
  <si>
    <t>1. Clear "Value" input.
2. Click "Save".</t>
  </si>
  <si>
    <t>- (If allowed) Saves empty string.
- (If blocked) Shows validation error.</t>
  </si>
  <si>
    <t>Open Edit Dialog.</t>
  </si>
  <si>
    <t>Test Expense Proof</t>
  </si>
  <si>
    <t>EP01</t>
  </si>
  <si>
    <t>View Expense Proof List</t>
  </si>
  <si>
    <t>1. Navigate to /admin/expense-proofs.</t>
  </si>
  <si>
    <t>- List of proofs displayed.
- Cards show: Request ID, Amount, Status, Date.
- Stats cards at top show correct counts.</t>
  </si>
  <si>
    <t>EP02</t>
  </si>
  <si>
    <t>Filter by Status: PENDING</t>
  </si>
  <si>
    <t>1. Select Filter "Chờ duyệt" (Pending).</t>
  </si>
  <si>
    <t>- Only Pending proofs shown.
- Status badge is Yellow.</t>
  </si>
  <si>
    <t>Pending proofs exist.</t>
  </si>
  <si>
    <t>EP03</t>
  </si>
  <si>
    <t>Filter by Status: APPROVED</t>
  </si>
  <si>
    <t>1. Select Filter "Đã duyệt" (Approved).</t>
  </si>
  <si>
    <t>- Only Approved proofs shown.
- Status badge is Green.</t>
  </si>
  <si>
    <t>Approved proofs exist.</t>
  </si>
  <si>
    <t>EP04</t>
  </si>
  <si>
    <t>Filter by Status: REJECTED</t>
  </si>
  <si>
    <t>1. Select Filter "Từ chối" (Rejected).</t>
  </si>
  <si>
    <t>- Only Rejected proofs shown.
- Status badge is Red.</t>
  </si>
  <si>
    <t>Rejected proofs exist.</t>
  </si>
  <si>
    <t>EP05</t>
  </si>
  <si>
    <t>Approve Expense Proof</t>
  </si>
  <si>
    <t>1. Open Detail.
2. Click "Approve".
3. Confirm.</t>
  </si>
  <si>
    <t>- Status updates to APPROVED.
- Toast success message.
- List refreshes.</t>
  </si>
  <si>
    <t>Proof is PENDING.</t>
  </si>
  <si>
    <t>EP06</t>
  </si>
  <si>
    <t>Reject Expense Proof</t>
  </si>
  <si>
    <t>1. Open Detail.
2. Click "Reject".
3. Enter reason (if required).
4. Submit.</t>
  </si>
  <si>
    <t>- Status updates to REJECTED.
- Toast success message.
- List refreshes.</t>
  </si>
  <si>
    <t>EP07</t>
  </si>
  <si>
    <t>Pagination Navigation</t>
  </si>
  <si>
    <t>1. Click "Next" or Page Number.</t>
  </si>
  <si>
    <t>- List updates to next set of items.
- "Previous" button enabled.</t>
  </si>
  <si>
    <t>&gt;10 proofs exist.</t>
  </si>
  <si>
    <t>EP08</t>
  </si>
  <si>
    <t>Upload &amp; Create Expense Proof Success</t>
  </si>
  <si>
    <t>1. Enter amount: "500000".2. Select 2 image files.3. Tap "Upload &amp; tạo chứng từ".4. Wait for upload.</t>
  </si>
  <si>
    <t>- Loading indicator shown during upload.- AlertPopup shows "Đã tạo chứng từ chi tiêu."- Auto navigate back after close.</t>
  </si>
  <si>
    <t>Valid requestId, camera/library permission granted.</t>
  </si>
  <si>
    <t>EP09</t>
  </si>
  <si>
    <t>Camera Capture for Proof</t>
  </si>
  <si>
    <t>1. Tap "Chụp ảnh / Chọn ảnh, video".2. Select "Chụp từ camera".3. Take a photo.4. Confirm.</t>
  </si>
  <si>
    <t>- Camera opens successfully.- Captured photo added to file list.- File chip shows filename and type (JPG).</t>
  </si>
  <si>
    <t>Camera permission granted.</t>
  </si>
  <si>
    <t>EP10</t>
  </si>
  <si>
    <t>Reject without Reason</t>
  </si>
  <si>
    <t>1. Click "Reject".
2. Leave reason empty.
3. Submit.</t>
  </si>
  <si>
    <t>- Validation error: "Vui lòng nhập lý do từ chối".
- Submit blocked.</t>
  </si>
  <si>
    <t>EP11</t>
  </si>
  <si>
    <t>Submit without Amount</t>
  </si>
  <si>
    <t>1. Select 1 file.2. Leave "Số tiền chi tiêu" empty.3. Tap "Upload &amp; tạo chứng từ".</t>
  </si>
  <si>
    <t>- AlertPopup shows "Vui lòng nhập số tiền chi tiêu."- Upload blocked, no API call made.</t>
  </si>
  <si>
    <t>Valid requestId.</t>
  </si>
  <si>
    <t>EP12</t>
  </si>
  <si>
    <t>Submit without Files</t>
  </si>
  <si>
    <t>1. Enter amount: "100000".2. Do NOT select any file.3. Tap "Upload &amp; tạo chứng từ".</t>
  </si>
  <si>
    <t>- AlertPopup shows "Vui lòng chọn ít nhất 1 file cần upload."- Upload blocked, no API call made.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</si>
</sst>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\-mmm\-yy"/>
    <numFmt numFmtId="165" formatCode="m/d/yyyy"/>
    <numFmt numFmtId="166" formatCode="mm/dd/yyyy"/>
  </numFmts>
  <fonts count="27">
    <font>
      <sz val="11.0"/>
      <color rgb="FF000000"/>
      <name val="MS PGothic"/>
      <scheme val="minor"/>
    </font>
    <font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theme="1"/>
      <name val="Tahoma"/>
    </font>
    <font>
      <i/>
      <sz val="10.0"/>
      <color theme="1"/>
      <name val="Tahoma"/>
    </font>
    <font>
      <b/>
      <sz val="10.0"/>
      <color rgb="FFFFFFFF"/>
      <name val="Tahoma"/>
    </font>
    <font>
      <sz val="11.0"/>
      <color theme="1"/>
      <name val="MS PGothic"/>
    </font>
    <font>
      <color theme="1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u/>
      <sz val="11.0"/>
      <color rgb="FF0000FF"/>
      <name val="MS PGothic"/>
    </font>
    <font>
      <u/>
      <sz val="10.0"/>
      <color rgb="FF0000FF"/>
      <name val="Tahoma"/>
    </font>
    <font>
      <u/>
      <sz val="11.0"/>
      <color rgb="FF0000FF"/>
    </font>
    <font>
      <sz val="10.0"/>
      <color rgb="FF000000"/>
      <name val="Tahoma"/>
    </font>
    <font>
      <sz val="10.0"/>
      <color rgb="FFFFFFFF"/>
      <name val="Tahoma"/>
    </font>
    <font>
      <b/>
      <sz val="10.0"/>
      <color rgb="FF0000FF"/>
      <name val="Tahoma"/>
    </font>
    <font>
      <sz val="10.0"/>
      <color rgb="FFFF0000"/>
      <name val="Tahoma"/>
    </font>
    <font>
      <b/>
      <i/>
      <sz val="10.0"/>
      <color theme="1"/>
      <name val="Tahoma"/>
    </font>
    <font>
      <u/>
      <sz val="10.0"/>
      <color rgb="FF000000"/>
      <name val="Tahoma"/>
    </font>
    <font>
      <u/>
      <sz val="10.0"/>
      <color rgb="FF0000FF"/>
      <name val="Tahoma"/>
    </font>
    <font>
      <b/>
      <color rgb="FF1F1F1F"/>
      <name val="&quot;Google Sans Text&quot;"/>
    </font>
    <font>
      <color theme="1"/>
      <name val="MS PGothic"/>
      <scheme val="minor"/>
    </font>
    <font>
      <sz val="10.0"/>
      <color rgb="FF0000FF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5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/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right/>
      <top/>
      <bottom/>
    </border>
    <border>
      <left/>
      <top/>
    </border>
    <border>
      <left/>
      <right/>
      <bottom/>
    </border>
    <border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right/>
      <bottom/>
    </border>
    <border>
      <lef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center" vertical="center"/>
    </xf>
    <xf borderId="4" fillId="2" fontId="5" numFmtId="0" xfId="0" applyAlignment="1" applyBorder="1" applyFill="1" applyFont="1">
      <alignment horizontal="left"/>
    </xf>
    <xf borderId="0" fillId="0" fontId="6" numFmtId="0" xfId="0" applyAlignment="1" applyFont="1">
      <alignment horizontal="left"/>
    </xf>
    <xf borderId="4" fillId="2" fontId="1" numFmtId="0" xfId="0" applyBorder="1" applyFont="1"/>
    <xf borderId="5" fillId="2" fontId="7" numFmtId="0" xfId="0" applyAlignment="1" applyBorder="1" applyFont="1">
      <alignment horizontal="left"/>
    </xf>
    <xf borderId="1" fillId="0" fontId="8" numFmtId="0" xfId="0" applyAlignment="1" applyBorder="1" applyFont="1">
      <alignment horizontal="left" readingOrder="0"/>
    </xf>
    <xf borderId="3" fillId="0" fontId="1" numFmtId="0" xfId="0" applyAlignment="1" applyBorder="1" applyFont="1">
      <alignment readingOrder="0"/>
    </xf>
    <xf borderId="3" fillId="0" fontId="8" numFmtId="0" xfId="0" applyAlignment="1" applyBorder="1" applyFont="1">
      <alignment readingOrder="0"/>
    </xf>
    <xf borderId="5" fillId="2" fontId="7" numFmtId="0" xfId="0" applyAlignment="1" applyBorder="1" applyFont="1">
      <alignment vertical="center"/>
    </xf>
    <xf borderId="1" fillId="0" fontId="8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left" readingOrder="0"/>
    </xf>
    <xf borderId="0" fillId="0" fontId="7" numFmtId="0" xfId="0" applyFont="1"/>
    <xf borderId="0" fillId="0" fontId="5" numFmtId="0" xfId="0" applyAlignment="1" applyFont="1">
      <alignment horizontal="left"/>
    </xf>
    <xf borderId="0" fillId="0" fontId="7" numFmtId="0" xfId="0" applyAlignment="1" applyFont="1">
      <alignment horizontal="left"/>
    </xf>
    <xf borderId="6" fillId="3" fontId="9" numFmtId="164" xfId="0" applyAlignment="1" applyBorder="1" applyFill="1" applyFont="1" applyNumberFormat="1">
      <alignment horizontal="center" vertical="center"/>
    </xf>
    <xf borderId="7" fillId="3" fontId="9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9" fillId="0" fontId="8" numFmtId="0" xfId="0" applyAlignment="1" applyBorder="1" applyFont="1">
      <alignment readingOrder="0" shrinkToFit="0" vertical="top" wrapText="1"/>
    </xf>
    <xf borderId="10" fillId="0" fontId="1" numFmtId="49" xfId="0" applyAlignment="1" applyBorder="1" applyFont="1" applyNumberFormat="1">
      <alignment readingOrder="0" vertical="top"/>
    </xf>
    <xf borderId="10" fillId="0" fontId="1" numFmtId="0" xfId="0" applyAlignment="1" applyBorder="1" applyFont="1">
      <alignment readingOrder="0" vertical="top"/>
    </xf>
    <xf borderId="11" fillId="0" fontId="8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vertical="top"/>
    </xf>
    <xf borderId="9" fillId="0" fontId="8" numFmtId="0" xfId="0" applyAlignment="1" applyBorder="1" applyFont="1">
      <alignment readingOrder="0" vertical="top"/>
    </xf>
    <xf borderId="11" fillId="0" fontId="1" numFmtId="0" xfId="0" applyAlignment="1" applyBorder="1" applyFont="1">
      <alignment vertical="top"/>
    </xf>
    <xf borderId="9" fillId="0" fontId="8" numFmtId="165" xfId="0" applyAlignment="1" applyBorder="1" applyFont="1" applyNumberFormat="1">
      <alignment horizontal="left" readingOrder="0" vertical="top"/>
    </xf>
    <xf borderId="10" fillId="0" fontId="10" numFmtId="0" xfId="0" applyAlignment="1" applyBorder="1" applyFont="1">
      <alignment vertical="top"/>
    </xf>
    <xf borderId="10" fillId="0" fontId="11" numFmtId="0" xfId="0" applyAlignment="1" applyBorder="1" applyFont="1">
      <alignment vertical="top"/>
    </xf>
    <xf borderId="9" fillId="0" fontId="1" numFmtId="164" xfId="0" applyAlignment="1" applyBorder="1" applyFont="1" applyNumberFormat="1">
      <alignment vertical="top"/>
    </xf>
    <xf borderId="10" fillId="0" fontId="1" numFmtId="49" xfId="0" applyAlignment="1" applyBorder="1" applyFont="1" applyNumberFormat="1">
      <alignment vertical="top"/>
    </xf>
    <xf borderId="10" fillId="0" fontId="1" numFmtId="0" xfId="0" applyAlignment="1" applyBorder="1" applyFont="1">
      <alignment vertical="top"/>
    </xf>
    <xf borderId="12" fillId="0" fontId="1" numFmtId="164" xfId="0" applyAlignment="1" applyBorder="1" applyFont="1" applyNumberFormat="1">
      <alignment vertical="top"/>
    </xf>
    <xf borderId="13" fillId="0" fontId="1" numFmtId="49" xfId="0" applyAlignment="1" applyBorder="1" applyFont="1" applyNumberFormat="1">
      <alignment vertical="top"/>
    </xf>
    <xf borderId="13" fillId="0" fontId="1" numFmtId="0" xfId="0" applyAlignment="1" applyBorder="1" applyFont="1">
      <alignment vertical="top"/>
    </xf>
    <xf borderId="14" fillId="0" fontId="1" numFmtId="0" xfId="0" applyAlignment="1" applyBorder="1" applyFont="1">
      <alignment vertical="top"/>
    </xf>
    <xf borderId="4" fillId="2" fontId="1" numFmtId="1" xfId="0" applyBorder="1" applyFont="1" applyNumberFormat="1"/>
    <xf borderId="4" fillId="2" fontId="1" numFmtId="0" xfId="0" applyAlignment="1" applyBorder="1" applyFont="1">
      <alignment horizontal="left"/>
    </xf>
    <xf borderId="4" fillId="2" fontId="3" numFmtId="0" xfId="0" applyAlignment="1" applyBorder="1" applyFont="1">
      <alignment horizontal="left"/>
    </xf>
    <xf borderId="4" fillId="2" fontId="12" numFmtId="0" xfId="0" applyAlignment="1" applyBorder="1" applyFont="1">
      <alignment horizontal="left"/>
    </xf>
    <xf borderId="4" fillId="2" fontId="13" numFmtId="0" xfId="0" applyAlignment="1" applyBorder="1" applyFont="1">
      <alignment horizontal="left"/>
    </xf>
    <xf borderId="1" fillId="2" fontId="5" numFmtId="1" xfId="0" applyBorder="1" applyFont="1" applyNumberFormat="1"/>
    <xf borderId="15" fillId="0" fontId="4" numFmtId="0" xfId="0" applyBorder="1" applyFont="1"/>
    <xf borderId="1" fillId="2" fontId="6" numFmtId="0" xfId="0" applyAlignment="1" applyBorder="1" applyFont="1">
      <alignment horizontal="left" readingOrder="0"/>
    </xf>
    <xf borderId="4" fillId="2" fontId="1" numFmtId="0" xfId="0" applyAlignment="1" applyBorder="1" applyFont="1">
      <alignment shrinkToFit="0" wrapText="1"/>
    </xf>
    <xf borderId="1" fillId="2" fontId="5" numFmtId="1" xfId="0" applyAlignment="1" applyBorder="1" applyFont="1" applyNumberFormat="1">
      <alignment shrinkToFit="0" vertical="center" wrapText="1"/>
    </xf>
    <xf borderId="1" fillId="2" fontId="6" numFmtId="0" xfId="0" applyAlignment="1" applyBorder="1" applyFont="1">
      <alignment readingOrder="0" shrinkToFit="0" vertical="top" wrapText="1"/>
    </xf>
    <xf borderId="4" fillId="2" fontId="5" numFmtId="1" xfId="0" applyBorder="1" applyFont="1" applyNumberFormat="1"/>
    <xf borderId="4" fillId="2" fontId="1" numFmtId="0" xfId="0" applyAlignment="1" applyBorder="1" applyFont="1">
      <alignment vertical="center"/>
    </xf>
    <xf borderId="4" fillId="2" fontId="1" numFmtId="1" xfId="0" applyAlignment="1" applyBorder="1" applyFont="1" applyNumberFormat="1">
      <alignment vertical="center"/>
    </xf>
    <xf borderId="4" fillId="2" fontId="1" numFmtId="0" xfId="0" applyAlignment="1" applyBorder="1" applyFont="1">
      <alignment horizontal="left" vertical="center"/>
    </xf>
    <xf borderId="4" fillId="2" fontId="7" numFmtId="0" xfId="0" applyAlignment="1" applyBorder="1" applyFont="1">
      <alignment horizontal="center"/>
    </xf>
    <xf borderId="16" fillId="4" fontId="9" numFmtId="1" xfId="0" applyAlignment="1" applyBorder="1" applyFill="1" applyFont="1" applyNumberFormat="1">
      <alignment horizontal="center" vertical="center"/>
    </xf>
    <xf borderId="17" fillId="4" fontId="9" numFmtId="0" xfId="0" applyAlignment="1" applyBorder="1" applyFont="1">
      <alignment horizontal="center" vertical="center"/>
    </xf>
    <xf borderId="18" fillId="4" fontId="9" numFmtId="0" xfId="0" applyAlignment="1" applyBorder="1" applyFont="1">
      <alignment horizontal="center" vertical="center"/>
    </xf>
    <xf borderId="19" fillId="4" fontId="9" numFmtId="0" xfId="0" applyAlignment="1" applyBorder="1" applyFont="1">
      <alignment horizontal="center" vertical="center"/>
    </xf>
    <xf borderId="20" fillId="2" fontId="1" numFmtId="0" xfId="0" applyBorder="1" applyFont="1"/>
    <xf borderId="5" fillId="2" fontId="1" numFmtId="1" xfId="0" applyAlignment="1" applyBorder="1" applyFont="1" applyNumberFormat="1">
      <alignment vertical="center"/>
    </xf>
    <xf borderId="5" fillId="2" fontId="1" numFmtId="49" xfId="0" applyAlignment="1" applyBorder="1" applyFont="1" applyNumberFormat="1">
      <alignment horizontal="left" readingOrder="0" vertical="center"/>
    </xf>
    <xf borderId="5" fillId="2" fontId="14" numFmtId="0" xfId="0" applyAlignment="1" applyBorder="1" applyFont="1">
      <alignment horizontal="left" readingOrder="0" vertical="center"/>
    </xf>
    <xf borderId="5" fillId="2" fontId="15" numFmtId="0" xfId="0" applyAlignment="1" applyBorder="1" applyFont="1">
      <alignment horizontal="left" vertical="center"/>
    </xf>
    <xf borderId="5" fillId="2" fontId="1" numFmtId="0" xfId="0" applyAlignment="1" applyBorder="1" applyFont="1">
      <alignment horizontal="left" vertical="center"/>
    </xf>
    <xf borderId="21" fillId="2" fontId="1" numFmtId="0" xfId="0" applyBorder="1" applyFont="1"/>
    <xf borderId="5" fillId="2" fontId="1" numFmtId="1" xfId="0" applyAlignment="1" applyBorder="1" applyFont="1" applyNumberFormat="1">
      <alignment readingOrder="0" vertical="center"/>
    </xf>
    <xf borderId="5" fillId="2" fontId="1" numFmtId="0" xfId="0" applyAlignment="1" applyBorder="1" applyFont="1">
      <alignment horizontal="left" readingOrder="0"/>
    </xf>
    <xf borderId="5" fillId="2" fontId="1" numFmtId="0" xfId="0" applyAlignment="1" applyBorder="1" applyFont="1">
      <alignment horizontal="left"/>
    </xf>
    <xf borderId="5" fillId="2" fontId="16" numFmtId="0" xfId="0" applyAlignment="1" applyBorder="1" applyFont="1">
      <alignment horizontal="left" readingOrder="0"/>
    </xf>
    <xf borderId="5" fillId="2" fontId="1" numFmtId="49" xfId="0" applyAlignment="1" applyBorder="1" applyFont="1" applyNumberFormat="1">
      <alignment horizontal="left" readingOrder="0"/>
    </xf>
    <xf borderId="22" fillId="2" fontId="1" numFmtId="0" xfId="0" applyBorder="1" applyFont="1"/>
    <xf borderId="5" fillId="2" fontId="1" numFmtId="0" xfId="0" applyBorder="1" applyFont="1"/>
    <xf borderId="23" fillId="2" fontId="1" numFmtId="0" xfId="0" applyBorder="1" applyFont="1"/>
    <xf borderId="23" fillId="2" fontId="1" numFmtId="1" xfId="0" applyBorder="1" applyFont="1" applyNumberFormat="1"/>
    <xf borderId="23" fillId="2" fontId="1" numFmtId="0" xfId="0" applyAlignment="1" applyBorder="1" applyFont="1">
      <alignment horizontal="left"/>
    </xf>
    <xf borderId="20" fillId="2" fontId="3" numFmtId="0" xfId="0" applyAlignment="1" applyBorder="1" applyFont="1">
      <alignment horizontal="center"/>
    </xf>
    <xf borderId="24" fillId="0" fontId="4" numFmtId="0" xfId="0" applyBorder="1" applyFont="1"/>
    <xf borderId="21" fillId="0" fontId="4" numFmtId="0" xfId="0" applyBorder="1" applyFont="1"/>
    <xf borderId="4" fillId="2" fontId="7" numFmtId="0" xfId="0" applyBorder="1" applyFont="1"/>
    <xf borderId="4" fillId="2" fontId="1" numFmtId="164" xfId="0" applyBorder="1" applyFont="1" applyNumberFormat="1"/>
    <xf borderId="5" fillId="2" fontId="5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/>
    </xf>
    <xf borderId="25" fillId="2" fontId="5" numFmtId="0" xfId="0" applyAlignment="1" applyBorder="1" applyFont="1">
      <alignment horizontal="left"/>
    </xf>
    <xf borderId="25" fillId="2" fontId="17" numFmtId="0" xfId="0" applyAlignment="1" applyBorder="1" applyFont="1">
      <alignment readingOrder="0" vertical="top"/>
    </xf>
    <xf borderId="25" fillId="2" fontId="1" numFmtId="0" xfId="0" applyAlignment="1" applyBorder="1" applyFont="1">
      <alignment readingOrder="0" vertical="top"/>
    </xf>
    <xf borderId="5" fillId="2" fontId="5" numFmtId="0" xfId="0" applyAlignment="1" applyBorder="1" applyFont="1">
      <alignment vertical="center"/>
    </xf>
    <xf borderId="1" fillId="2" fontId="6" numFmtId="0" xfId="0" applyAlignment="1" applyBorder="1" applyFont="1">
      <alignment horizontal="left"/>
    </xf>
    <xf borderId="25" fillId="2" fontId="6" numFmtId="0" xfId="0" applyAlignment="1" applyBorder="1" applyFont="1">
      <alignment readingOrder="0" vertical="top"/>
    </xf>
    <xf borderId="1" fillId="2" fontId="6" numFmtId="0" xfId="0" applyAlignment="1" applyBorder="1" applyFont="1">
      <alignment vertical="top"/>
    </xf>
    <xf borderId="4" fillId="2" fontId="5" numFmtId="0" xfId="0" applyBorder="1" applyFont="1"/>
    <xf borderId="4" fillId="2" fontId="6" numFmtId="0" xfId="0" applyBorder="1" applyFont="1"/>
    <xf borderId="26" fillId="2" fontId="1" numFmtId="0" xfId="0" applyBorder="1" applyFont="1"/>
    <xf borderId="6" fillId="3" fontId="9" numFmtId="0" xfId="0" applyAlignment="1" applyBorder="1" applyFont="1">
      <alignment horizontal="center"/>
    </xf>
    <xf borderId="7" fillId="3" fontId="9" numFmtId="0" xfId="0" applyAlignment="1" applyBorder="1" applyFont="1">
      <alignment horizontal="center"/>
    </xf>
    <xf borderId="7" fillId="3" fontId="9" numFmtId="0" xfId="0" applyAlignment="1" applyBorder="1" applyFont="1">
      <alignment horizontal="center" shrinkToFit="0" wrapText="1"/>
    </xf>
    <xf borderId="8" fillId="3" fontId="9" numFmtId="0" xfId="0" applyAlignment="1" applyBorder="1" applyFont="1">
      <alignment horizontal="center" shrinkToFit="0" wrapText="1"/>
    </xf>
    <xf borderId="9" fillId="2" fontId="1" numFmtId="0" xfId="0" applyAlignment="1" applyBorder="1" applyFont="1">
      <alignment horizontal="center"/>
    </xf>
    <xf borderId="10" fillId="2" fontId="1" numFmtId="0" xfId="0" applyBorder="1" applyFont="1"/>
    <xf borderId="10" fillId="2" fontId="1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9" fillId="2" fontId="1" numFmtId="0" xfId="0" applyAlignment="1" applyBorder="1" applyFont="1">
      <alignment horizontal="center" readingOrder="0"/>
    </xf>
    <xf borderId="10" fillId="2" fontId="1" numFmtId="0" xfId="0" applyAlignment="1" applyBorder="1" applyFont="1">
      <alignment readingOrder="0"/>
    </xf>
    <xf borderId="10" fillId="2" fontId="1" numFmtId="0" xfId="0" applyAlignment="1" applyBorder="1" applyFont="1">
      <alignment horizontal="center" readingOrder="0"/>
    </xf>
    <xf borderId="11" fillId="2" fontId="1" numFmtId="0" xfId="0" applyAlignment="1" applyBorder="1" applyFont="1">
      <alignment horizontal="center" readingOrder="0"/>
    </xf>
    <xf borderId="27" fillId="2" fontId="1" numFmtId="0" xfId="0" applyAlignment="1" applyBorder="1" applyFont="1">
      <alignment horizontal="center" readingOrder="0"/>
    </xf>
    <xf borderId="28" fillId="2" fontId="1" numFmtId="0" xfId="0" applyAlignment="1" applyBorder="1" applyFont="1">
      <alignment readingOrder="0"/>
    </xf>
    <xf borderId="28" fillId="2" fontId="1" numFmtId="0" xfId="0" applyAlignment="1" applyBorder="1" applyFont="1">
      <alignment horizontal="center" readingOrder="0"/>
    </xf>
    <xf borderId="29" fillId="2" fontId="1" numFmtId="0" xfId="0" applyAlignment="1" applyBorder="1" applyFont="1">
      <alignment horizontal="center" readingOrder="0"/>
    </xf>
    <xf borderId="12" fillId="3" fontId="18" numFmtId="0" xfId="0" applyAlignment="1" applyBorder="1" applyFont="1">
      <alignment horizontal="center"/>
    </xf>
    <xf borderId="13" fillId="3" fontId="9" numFmtId="0" xfId="0" applyBorder="1" applyFont="1"/>
    <xf borderId="13" fillId="3" fontId="18" numFmtId="0" xfId="0" applyAlignment="1" applyBorder="1" applyFont="1">
      <alignment horizontal="center"/>
    </xf>
    <xf borderId="14" fillId="3" fontId="18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23" fillId="2" fontId="1" numFmtId="10" xfId="0" applyAlignment="1" applyBorder="1" applyFont="1" applyNumberFormat="1">
      <alignment horizontal="center"/>
    </xf>
    <xf borderId="23" fillId="2" fontId="1" numFmtId="9" xfId="0" applyAlignment="1" applyBorder="1" applyFont="1" applyNumberFormat="1">
      <alignment horizontal="center"/>
    </xf>
    <xf borderId="4" fillId="2" fontId="19" numFmtId="2" xfId="0" applyAlignment="1" applyBorder="1" applyFont="1" applyNumberFormat="1">
      <alignment horizontal="right" shrinkToFit="0" wrapText="1"/>
    </xf>
    <xf borderId="4" fillId="2" fontId="17" numFmtId="0" xfId="0" applyAlignment="1" applyBorder="1" applyFont="1">
      <alignment horizontal="center" shrinkToFit="0" wrapText="1"/>
    </xf>
    <xf borderId="4" fillId="2" fontId="20" numFmtId="0" xfId="0" applyBorder="1" applyFont="1"/>
    <xf borderId="30" fillId="2" fontId="7" numFmtId="0" xfId="0" applyAlignment="1" applyBorder="1" applyFont="1">
      <alignment horizontal="center" shrinkToFit="0" vertical="top" wrapText="1"/>
    </xf>
    <xf borderId="31" fillId="2" fontId="1" numFmtId="0" xfId="0" applyAlignment="1" applyBorder="1" applyFont="1">
      <alignment horizontal="left" readingOrder="0" shrinkToFit="0" vertical="top" wrapText="1"/>
    </xf>
    <xf borderId="32" fillId="0" fontId="4" numFmtId="0" xfId="0" applyBorder="1" applyFont="1"/>
    <xf borderId="33" fillId="0" fontId="4" numFmtId="0" xfId="0" applyBorder="1" applyFont="1"/>
    <xf borderId="4" fillId="2" fontId="6" numFmtId="0" xfId="0" applyAlignment="1" applyBorder="1" applyFont="1">
      <alignment shrinkToFit="0" wrapText="1"/>
    </xf>
    <xf borderId="4" fillId="2" fontId="6" numFmtId="0" xfId="0" applyAlignment="1" applyBorder="1" applyFont="1">
      <alignment horizontal="left" shrinkToFit="0" wrapText="1"/>
    </xf>
    <xf borderId="4" fillId="2" fontId="20" numFmtId="0" xfId="0" applyAlignment="1" applyBorder="1" applyFont="1">
      <alignment shrinkToFit="0" wrapText="1"/>
    </xf>
    <xf borderId="4" fillId="2" fontId="17" numFmtId="0" xfId="0" applyBorder="1" applyFont="1"/>
    <xf borderId="34" fillId="2" fontId="7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readingOrder="0" shrinkToFit="0" vertical="top" wrapText="1"/>
    </xf>
    <xf borderId="35" fillId="0" fontId="4" numFmtId="0" xfId="0" applyBorder="1" applyFont="1"/>
    <xf borderId="1" fillId="2" fontId="1" numFmtId="0" xfId="0" applyAlignment="1" applyBorder="1" applyFont="1">
      <alignment horizontal="left" shrinkToFit="0" vertical="top" wrapText="1"/>
    </xf>
    <xf borderId="34" fillId="2" fontId="21" numFmtId="0" xfId="0" applyAlignment="1" applyBorder="1" applyFont="1">
      <alignment horizontal="center" shrinkToFit="0" vertical="top" wrapText="1"/>
    </xf>
    <xf borderId="5" fillId="2" fontId="21" numFmtId="0" xfId="0" applyAlignment="1" applyBorder="1" applyFont="1">
      <alignment horizontal="center" shrinkToFit="0" vertical="top" wrapText="1"/>
    </xf>
    <xf borderId="36" fillId="2" fontId="21" numFmtId="0" xfId="0" applyAlignment="1" applyBorder="1" applyFont="1">
      <alignment horizontal="center" shrinkToFit="0" vertical="top" wrapText="1"/>
    </xf>
    <xf borderId="4" fillId="2" fontId="12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wrapText="1"/>
    </xf>
    <xf borderId="4" fillId="2" fontId="20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horizontal="center" shrinkToFit="0" vertical="top" wrapText="1"/>
    </xf>
    <xf borderId="36" fillId="2" fontId="1" numFmtId="0" xfId="0" applyAlignment="1" applyBorder="1" applyFont="1">
      <alignment horizontal="center" shrinkToFit="0" vertical="top" wrapText="1"/>
    </xf>
    <xf borderId="4" fillId="2" fontId="17" numFmtId="0" xfId="0" applyAlignment="1" applyBorder="1" applyFont="1">
      <alignment horizontal="center" shrinkToFit="0" vertical="center" wrapText="1"/>
    </xf>
    <xf borderId="37" fillId="2" fontId="21" numFmtId="0" xfId="0" applyAlignment="1" applyBorder="1" applyFont="1">
      <alignment horizontal="center" shrinkToFit="0" vertical="top" wrapText="1"/>
    </xf>
    <xf borderId="38" fillId="2" fontId="1" numFmtId="0" xfId="0" applyAlignment="1" applyBorder="1" applyFont="1">
      <alignment horizontal="center" shrinkToFit="0" vertical="top" wrapText="1"/>
    </xf>
    <xf borderId="39" fillId="2" fontId="1" numFmtId="0" xfId="0" applyAlignment="1" applyBorder="1" applyFont="1">
      <alignment horizontal="center" shrinkToFit="0" vertical="top" wrapText="1"/>
    </xf>
    <xf borderId="5" fillId="5" fontId="9" numFmtId="0" xfId="0" applyAlignment="1" applyBorder="1" applyFill="1" applyFont="1">
      <alignment horizontal="center" shrinkToFit="0" vertical="center" wrapText="1"/>
    </xf>
    <xf borderId="4" fillId="2" fontId="13" numFmtId="0" xfId="0" applyAlignment="1" applyBorder="1" applyFont="1">
      <alignment horizontal="center" shrinkToFit="0" vertical="center" wrapText="1"/>
    </xf>
    <xf borderId="40" fillId="6" fontId="7" numFmtId="0" xfId="0" applyAlignment="1" applyBorder="1" applyFill="1" applyFont="1">
      <alignment horizontal="left" readingOrder="0" vertical="center"/>
    </xf>
    <xf borderId="41" fillId="6" fontId="7" numFmtId="0" xfId="0" applyAlignment="1" applyBorder="1" applyFont="1">
      <alignment horizontal="left" vertical="center"/>
    </xf>
    <xf borderId="42" fillId="6" fontId="7" numFmtId="0" xfId="0" applyAlignment="1" applyBorder="1" applyFont="1">
      <alignment horizontal="left" vertical="center"/>
    </xf>
    <xf borderId="25" fillId="6" fontId="7" numFmtId="0" xfId="0" applyAlignment="1" applyBorder="1" applyFont="1">
      <alignment horizontal="left" vertical="center"/>
    </xf>
    <xf borderId="4" fillId="2" fontId="13" numFmtId="0" xfId="0" applyAlignment="1" applyBorder="1" applyFont="1">
      <alignment horizontal="left" vertical="center"/>
    </xf>
    <xf borderId="5" fillId="2" fontId="1" numFmtId="0" xfId="0" applyAlignment="1" applyBorder="1" applyFont="1">
      <alignment readingOrder="0" shrinkToFit="0" vertical="top" wrapText="1"/>
    </xf>
    <xf borderId="5" fillId="2" fontId="17" numFmtId="0" xfId="0" applyAlignment="1" applyBorder="1" applyFont="1">
      <alignment readingOrder="0" shrinkToFit="0" vertical="top" wrapText="1"/>
    </xf>
    <xf quotePrefix="1" borderId="5" fillId="2" fontId="1" numFmtId="0" xfId="0" applyAlignment="1" applyBorder="1" applyFont="1">
      <alignment readingOrder="0" shrinkToFit="0" vertical="top" wrapText="1"/>
    </xf>
    <xf borderId="5" fillId="2" fontId="1" numFmtId="0" xfId="0" applyAlignment="1" applyBorder="1" applyFont="1">
      <alignment shrinkToFit="0" vertical="top" wrapText="1"/>
    </xf>
    <xf borderId="4" fillId="2" fontId="20" numFmtId="0" xfId="0" applyAlignment="1" applyBorder="1" applyFont="1">
      <alignment shrinkToFit="0" vertical="top" wrapText="1"/>
    </xf>
    <xf borderId="43" fillId="2" fontId="1" numFmtId="0" xfId="0" applyAlignment="1" applyBorder="1" applyFont="1">
      <alignment readingOrder="0" shrinkToFit="0" vertical="top" wrapText="1"/>
    </xf>
    <xf quotePrefix="1" borderId="40" fillId="6" fontId="7" numFmtId="0" xfId="0" applyAlignment="1" applyBorder="1" applyFont="1">
      <alignment horizontal="left" readingOrder="0" vertical="center"/>
    </xf>
    <xf borderId="40" fillId="6" fontId="7" numFmtId="0" xfId="0" applyAlignment="1" applyBorder="1" applyFont="1">
      <alignment horizontal="left" vertical="center"/>
    </xf>
    <xf borderId="44" fillId="6" fontId="7" numFmtId="0" xfId="0" applyAlignment="1" applyBorder="1" applyFont="1">
      <alignment horizontal="left" vertical="center"/>
    </xf>
    <xf borderId="45" fillId="6" fontId="7" numFmtId="0" xfId="0" applyAlignment="1" applyBorder="1" applyFont="1">
      <alignment horizontal="left" vertical="center"/>
    </xf>
    <xf borderId="46" fillId="6" fontId="7" numFmtId="0" xfId="0" applyAlignment="1" applyBorder="1" applyFont="1">
      <alignment horizontal="left" vertical="center"/>
    </xf>
    <xf borderId="47" fillId="2" fontId="17" numFmtId="0" xfId="0" applyAlignment="1" applyBorder="1" applyFont="1">
      <alignment readingOrder="0" shrinkToFit="0" vertical="top" wrapText="1"/>
    </xf>
    <xf quotePrefix="1" borderId="48" fillId="6" fontId="7" numFmtId="0" xfId="0" applyAlignment="1" applyBorder="1" applyFont="1">
      <alignment horizontal="left" readingOrder="0" vertical="center"/>
    </xf>
    <xf borderId="48" fillId="6" fontId="7" numFmtId="0" xfId="0" applyAlignment="1" applyBorder="1" applyFont="1">
      <alignment horizontal="left" vertical="center"/>
    </xf>
    <xf borderId="5" fillId="2" fontId="17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horizontal="center" readingOrder="0" shrinkToFit="0" vertical="top" wrapText="1"/>
    </xf>
    <xf borderId="38" fillId="2" fontId="1" numFmtId="0" xfId="0" applyAlignment="1" applyBorder="1" applyFont="1">
      <alignment horizontal="center" readingOrder="0" shrinkToFit="0" vertical="top" wrapText="1"/>
    </xf>
    <xf borderId="5" fillId="6" fontId="7" numFmtId="0" xfId="0" applyAlignment="1" applyBorder="1" applyFont="1">
      <alignment horizontal="left" readingOrder="0" vertical="center"/>
    </xf>
    <xf borderId="5" fillId="2" fontId="1" numFmtId="0" xfId="0" applyAlignment="1" applyBorder="1" applyFont="1">
      <alignment readingOrder="0" shrinkToFit="0" vertical="top" wrapText="1"/>
    </xf>
    <xf borderId="5" fillId="2" fontId="1" numFmtId="166" xfId="0" applyAlignment="1" applyBorder="1" applyFont="1" applyNumberFormat="1">
      <alignment readingOrder="0" shrinkToFit="0" vertical="top" wrapText="1"/>
    </xf>
    <xf borderId="49" fillId="2" fontId="17" numFmtId="0" xfId="0" applyAlignment="1" applyBorder="1" applyFont="1">
      <alignment vertical="top"/>
    </xf>
    <xf borderId="23" fillId="2" fontId="20" numFmtId="0" xfId="0" applyAlignment="1" applyBorder="1" applyFont="1">
      <alignment shrinkToFit="0" vertical="top" wrapText="1"/>
    </xf>
    <xf borderId="23" fillId="2" fontId="17" numFmtId="0" xfId="0" applyAlignment="1" applyBorder="1" applyFont="1">
      <alignment vertical="top"/>
    </xf>
    <xf borderId="21" fillId="2" fontId="17" numFmtId="0" xfId="0" applyAlignment="1" applyBorder="1" applyFont="1">
      <alignment vertical="top"/>
    </xf>
    <xf borderId="4" fillId="2" fontId="17" numFmtId="0" xfId="0" applyAlignment="1" applyBorder="1" applyFont="1">
      <alignment vertical="top"/>
    </xf>
    <xf borderId="5" fillId="2" fontId="22" numFmtId="0" xfId="0" applyAlignment="1" applyBorder="1" applyFont="1">
      <alignment readingOrder="0" shrinkToFit="0" vertical="top" wrapText="1"/>
    </xf>
    <xf borderId="5" fillId="2" fontId="23" numFmtId="0" xfId="0" applyAlignment="1" applyBorder="1" applyFont="1">
      <alignment readingOrder="0" shrinkToFit="0" vertical="top" wrapText="1"/>
    </xf>
    <xf borderId="5" fillId="5" fontId="9" numFmtId="0" xfId="0" applyAlignment="1" applyBorder="1" applyFont="1">
      <alignment horizontal="center" shrinkToFit="0" vertical="center" wrapText="1"/>
    </xf>
    <xf borderId="50" fillId="6" fontId="7" numFmtId="0" xfId="0" applyAlignment="1" applyBorder="1" applyFont="1">
      <alignment horizontal="left" vertical="center"/>
    </xf>
    <xf borderId="5" fillId="6" fontId="7" numFmtId="0" xfId="0" applyAlignment="1" applyBorder="1" applyFont="1">
      <alignment horizontal="left" vertical="center"/>
    </xf>
    <xf borderId="21" fillId="2" fontId="17" numFmtId="0" xfId="0" applyBorder="1" applyFont="1"/>
    <xf borderId="51" fillId="2" fontId="1" numFmtId="0" xfId="0" applyBorder="1" applyFont="1"/>
    <xf borderId="47" fillId="2" fontId="1" numFmtId="0" xfId="0" applyAlignment="1" applyBorder="1" applyFont="1">
      <alignment readingOrder="0" shrinkToFit="0" vertical="top" wrapText="1"/>
    </xf>
    <xf borderId="4" fillId="2" fontId="1" numFmtId="0" xfId="0" applyAlignment="1" applyBorder="1" applyFont="1">
      <alignment readingOrder="0"/>
    </xf>
    <xf borderId="44" fillId="6" fontId="7" numFmtId="0" xfId="0" applyAlignment="1" applyBorder="1" applyFont="1">
      <alignment horizontal="left" vertical="center"/>
    </xf>
    <xf borderId="52" fillId="2" fontId="17" numFmtId="0" xfId="0" applyAlignment="1" applyBorder="1" applyFont="1">
      <alignment readingOrder="0" shrinkToFit="0" vertical="top" wrapText="1"/>
    </xf>
    <xf borderId="5" fillId="2" fontId="1" numFmtId="0" xfId="0" applyAlignment="1" applyBorder="1" applyFont="1">
      <alignment readingOrder="0" vertical="top"/>
    </xf>
    <xf borderId="21" fillId="2" fontId="6" numFmtId="0" xfId="0" applyAlignment="1" applyBorder="1" applyFont="1">
      <alignment shrinkToFit="0" wrapText="1"/>
    </xf>
    <xf borderId="53" fillId="5" fontId="9" numFmtId="0" xfId="0" applyAlignment="1" applyBorder="1" applyFont="1">
      <alignment horizontal="center" shrinkToFit="0" vertical="center" wrapText="1"/>
    </xf>
    <xf borderId="1" fillId="6" fontId="24" numFmtId="0" xfId="0" applyAlignment="1" applyBorder="1" applyFont="1">
      <alignment readingOrder="0" shrinkToFit="0" wrapText="1"/>
    </xf>
    <xf borderId="54" fillId="6" fontId="1" numFmtId="0" xfId="0" applyAlignment="1" applyBorder="1" applyFont="1">
      <alignment readingOrder="0" shrinkToFit="0" vertical="top" wrapText="1"/>
    </xf>
    <xf borderId="54" fillId="6" fontId="1" numFmtId="0" xfId="0" applyAlignment="1" applyBorder="1" applyFont="1">
      <alignment shrinkToFit="0" vertical="top" wrapText="1"/>
    </xf>
    <xf borderId="21" fillId="2" fontId="1" numFmtId="0" xfId="0" applyAlignment="1" applyBorder="1" applyFont="1">
      <alignment shrinkToFit="0" wrapText="1"/>
    </xf>
    <xf borderId="54" fillId="2" fontId="1" numFmtId="0" xfId="0" applyAlignment="1" applyBorder="1" applyFont="1">
      <alignment readingOrder="0" shrinkToFit="0" vertical="top" wrapText="1"/>
    </xf>
    <xf borderId="54" fillId="2" fontId="1" numFmtId="0" xfId="0" applyAlignment="1" applyBorder="1" applyFont="1">
      <alignment shrinkToFit="0" vertical="top" wrapText="1"/>
    </xf>
    <xf borderId="21" fillId="2" fontId="17" numFmtId="0" xfId="0" applyAlignment="1" applyBorder="1" applyFont="1">
      <alignment shrinkToFit="0" wrapText="1"/>
    </xf>
    <xf borderId="4" fillId="2" fontId="13" numFmtId="0" xfId="0" applyAlignment="1" applyBorder="1" applyFont="1">
      <alignment horizontal="left" shrinkToFit="0" vertical="center" wrapText="1"/>
    </xf>
    <xf borderId="4" fillId="2" fontId="1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 readingOrder="0" shrinkToFit="0" vertical="center" wrapText="1"/>
    </xf>
    <xf borderId="53" fillId="2" fontId="1" numFmtId="0" xfId="0" applyAlignment="1" applyBorder="1" applyFont="1">
      <alignment readingOrder="0" shrinkToFit="0" vertical="top" wrapText="1"/>
    </xf>
    <xf borderId="55" fillId="2" fontId="1" numFmtId="0" xfId="0" applyAlignment="1" applyBorder="1" applyFont="1">
      <alignment readingOrder="0" shrinkToFit="0" vertical="top" wrapText="1"/>
    </xf>
    <xf borderId="55" fillId="2" fontId="1" numFmtId="0" xfId="0" applyAlignment="1" applyBorder="1" applyFont="1">
      <alignment shrinkToFit="0" vertical="top" wrapText="1"/>
    </xf>
    <xf borderId="56" fillId="2" fontId="1" numFmtId="0" xfId="0" applyAlignment="1" applyBorder="1" applyFont="1">
      <alignment readingOrder="0" shrinkToFit="0" vertical="top" wrapText="1"/>
    </xf>
    <xf borderId="56" fillId="2" fontId="1" numFmtId="0" xfId="0" applyAlignment="1" applyBorder="1" applyFont="1">
      <alignment readingOrder="0" shrinkToFit="0" vertical="top" wrapText="1"/>
    </xf>
    <xf borderId="56" fillId="2" fontId="1" numFmtId="0" xfId="0" applyAlignment="1" applyBorder="1" applyFont="1">
      <alignment shrinkToFit="0" vertical="top" wrapText="1"/>
    </xf>
    <xf borderId="0" fillId="2" fontId="1" numFmtId="0" xfId="0" applyAlignment="1" applyFont="1">
      <alignment readingOrder="0" shrinkToFit="0" vertical="top" wrapText="1"/>
    </xf>
    <xf borderId="0" fillId="2" fontId="1" numFmtId="0" xfId="0" applyAlignment="1" applyFon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1" fillId="6" fontId="7" numFmtId="0" xfId="0" applyAlignment="1" applyBorder="1" applyFont="1">
      <alignment horizontal="left" readingOrder="0" vertical="center"/>
    </xf>
    <xf borderId="1" fillId="6" fontId="7" numFmtId="0" xfId="0" applyAlignment="1" applyBorder="1" applyFont="1">
      <alignment horizontal="left" vertical="center"/>
    </xf>
    <xf borderId="1" fillId="6" fontId="7" numFmtId="0" xfId="0" applyAlignment="1" applyBorder="1" applyFont="1">
      <alignment horizontal="left" shrinkToFit="0" vertical="center" wrapText="1"/>
    </xf>
    <xf borderId="54" fillId="2" fontId="1" numFmtId="0" xfId="0" applyBorder="1" applyFont="1"/>
    <xf borderId="5" fillId="0" fontId="25" numFmtId="0" xfId="0" applyBorder="1" applyFont="1"/>
    <xf borderId="1" fillId="6" fontId="7" numFmtId="0" xfId="0" applyAlignment="1" applyBorder="1" applyFont="1">
      <alignment horizontal="left" vertical="center"/>
    </xf>
    <xf borderId="54" fillId="2" fontId="1" numFmtId="0" xfId="0" applyAlignment="1" applyBorder="1" applyFont="1">
      <alignment readingOrder="0" shrinkToFit="0" vertical="top" wrapText="1"/>
    </xf>
    <xf borderId="40" fillId="6" fontId="7" numFmtId="0" xfId="0" applyAlignment="1" applyBorder="1" applyFont="1">
      <alignment horizontal="left" readingOrder="0" vertical="center"/>
    </xf>
    <xf borderId="48" fillId="6" fontId="7" numFmtId="0" xfId="0" applyAlignment="1" applyBorder="1" applyFont="1">
      <alignment horizontal="left" readingOrder="0" vertical="center"/>
    </xf>
    <xf borderId="2" fillId="6" fontId="7" numFmtId="0" xfId="0" applyAlignment="1" applyBorder="1" applyFont="1">
      <alignment horizontal="left" vertical="center"/>
    </xf>
    <xf borderId="2" fillId="6" fontId="7" numFmtId="0" xfId="0" applyAlignment="1" applyBorder="1" applyFont="1">
      <alignment horizontal="left" vertical="center"/>
    </xf>
    <xf borderId="53" fillId="2" fontId="1" numFmtId="0" xfId="0" applyAlignment="1" applyBorder="1" applyFont="1">
      <alignment readingOrder="0" shrinkToFit="0" vertical="top" wrapText="1"/>
    </xf>
    <xf borderId="5" fillId="2" fontId="1" numFmtId="0" xfId="0" applyAlignment="1" applyBorder="1" applyFont="1">
      <alignment shrinkToFit="0" vertical="top" wrapText="1"/>
    </xf>
    <xf borderId="5" fillId="2" fontId="1" numFmtId="0" xfId="0" applyAlignment="1" applyBorder="1" applyFont="1">
      <alignment shrinkToFit="0" vertical="top" wrapText="1"/>
    </xf>
    <xf borderId="54" fillId="2" fontId="1" numFmtId="0" xfId="0" applyAlignment="1" applyBorder="1" applyFont="1">
      <alignment shrinkToFit="0" vertical="top" wrapText="1"/>
    </xf>
    <xf borderId="5" fillId="2" fontId="26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horizontal="left" readingOrder="0" vertical="center"/>
    </xf>
    <xf borderId="5" fillId="2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Report5_Unit%20Test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uideline"/>
      <sheetName val="Cover"/>
      <sheetName val="Function List"/>
      <sheetName val="Test Report"/>
      <sheetName val="Function 1"/>
      <sheetName val="Function 2"/>
      <sheetName val="Function3"/>
      <sheetName val="Ex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food-fund.vercel.app/register/organization" TargetMode="External"/><Relationship Id="rId3" Type="http://schemas.openxmlformats.org/officeDocument/2006/relationships/hyperlink" Target="https://food-fund.vercel.app/register/organization" TargetMode="External"/><Relationship Id="rId4" Type="http://schemas.openxmlformats.org/officeDocument/2006/relationships/hyperlink" Target="https://food-fund.vercel.app/register/organization" TargetMode="External"/><Relationship Id="rId11" Type="http://schemas.openxmlformats.org/officeDocument/2006/relationships/drawing" Target="../drawings/drawing6.xml"/><Relationship Id="rId10" Type="http://schemas.openxmlformats.org/officeDocument/2006/relationships/hyperlink" Target="https://food-fund.vercel.app/organizations/ten-to-chuc" TargetMode="External"/><Relationship Id="rId12" Type="http://schemas.openxmlformats.org/officeDocument/2006/relationships/vmlDrawing" Target="../drawings/vmlDrawing3.vml"/><Relationship Id="rId9" Type="http://schemas.openxmlformats.org/officeDocument/2006/relationships/hyperlink" Target="https://food-fund.vercel.app/admin/organization-requests" TargetMode="External"/><Relationship Id="rId5" Type="http://schemas.openxmlformats.org/officeDocument/2006/relationships/hyperlink" Target="https://food-fund.vercel.app/register/organization" TargetMode="External"/><Relationship Id="rId6" Type="http://schemas.openxmlformats.org/officeDocument/2006/relationships/hyperlink" Target="https://food-fund.vercel.app/register/organization" TargetMode="External"/><Relationship Id="rId7" Type="http://schemas.openxmlformats.org/officeDocument/2006/relationships/hyperlink" Target="https://food-fund.vercel.app/register/organization" TargetMode="External"/><Relationship Id="rId8" Type="http://schemas.openxmlformats.org/officeDocument/2006/relationships/hyperlink" Target="https://food-fund.vercel.app/admin/organization-requests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food-fund.vercel.app/admin/badges" TargetMode="External"/><Relationship Id="rId2" Type="http://schemas.openxmlformats.org/officeDocument/2006/relationships/hyperlink" Target="https://food-fund.vercel.app/admin/badges" TargetMode="External"/><Relationship Id="rId3" Type="http://schemas.openxmlformats.org/officeDocument/2006/relationships/hyperlink" Target="https://food-fund.vercel.app/admin/badges" TargetMode="External"/><Relationship Id="rId4" Type="http://schemas.openxmlformats.org/officeDocument/2006/relationships/hyperlink" Target="https://food-fund.vercel.app/profile?tab=profile" TargetMode="External"/><Relationship Id="rId5" Type="http://schemas.openxmlformats.org/officeDocument/2006/relationships/hyperlink" Target="https://food-fund.vercel.app/admin/badges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food-fund.vercel.app/" TargetMode="External"/><Relationship Id="rId2" Type="http://schemas.openxmlformats.org/officeDocument/2006/relationships/hyperlink" Target="https://food-fund.vercel.app/" TargetMode="External"/><Relationship Id="rId3" Type="http://schemas.openxmlformats.org/officeDocument/2006/relationships/hyperlink" Target="https://food-fund.vercel.app/" TargetMode="External"/><Relationship Id="rId4" Type="http://schemas.openxmlformats.org/officeDocument/2006/relationships/hyperlink" Target="https://food-fund.vercel.app/" TargetMode="External"/><Relationship Id="rId5" Type="http://schemas.openxmlformats.org/officeDocument/2006/relationships/hyperlink" Target="https://food-fund.vercel.app/" TargetMode="External"/><Relationship Id="rId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food-fund.vercel.app/campaign/invalid-id-123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8.0"/>
    <col customWidth="1" min="5" max="5" width="38.0"/>
    <col customWidth="1" min="6" max="6" width="48.13"/>
    <col customWidth="1" min="7" max="26" width="9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3"/>
      <c r="B2" s="4" t="s">
        <v>0</v>
      </c>
      <c r="C2" s="5"/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9"/>
      <c r="C3" s="2"/>
      <c r="D3" s="2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1" t="s">
        <v>1</v>
      </c>
      <c r="B4" s="12" t="s">
        <v>2</v>
      </c>
      <c r="C4" s="5"/>
      <c r="D4" s="6"/>
      <c r="E4" s="11" t="s">
        <v>3</v>
      </c>
      <c r="F4" s="13" t="s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1" t="s">
        <v>5</v>
      </c>
      <c r="B5" s="12" t="s">
        <v>6</v>
      </c>
      <c r="C5" s="5"/>
      <c r="D5" s="6"/>
      <c r="E5" s="11" t="s">
        <v>7</v>
      </c>
      <c r="F5" s="14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 t="s">
        <v>9</v>
      </c>
      <c r="B6" s="16" t="str">
        <f>B5&amp;"_"&amp;"Test Report"&amp;"_"&amp;"v1.0"</f>
        <v>FA25SE52_Test Report_v1.0</v>
      </c>
      <c r="C6" s="5"/>
      <c r="D6" s="6"/>
      <c r="E6" s="11" t="s">
        <v>10</v>
      </c>
      <c r="F6" s="17">
        <v>1.1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8"/>
      <c r="B7" s="9"/>
      <c r="C7" s="2"/>
      <c r="D7" s="2"/>
      <c r="E7" s="1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0" t="s">
        <v>11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1" t="s">
        <v>12</v>
      </c>
      <c r="B10" s="22" t="s">
        <v>10</v>
      </c>
      <c r="C10" s="22" t="s">
        <v>13</v>
      </c>
      <c r="D10" s="22" t="s">
        <v>14</v>
      </c>
      <c r="E10" s="22" t="s">
        <v>15</v>
      </c>
      <c r="F10" s="23" t="s">
        <v>16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8.0" customHeight="1">
      <c r="A11" s="25" t="s">
        <v>17</v>
      </c>
      <c r="B11" s="26" t="s">
        <v>18</v>
      </c>
      <c r="C11" s="27"/>
      <c r="D11" s="27" t="s">
        <v>19</v>
      </c>
      <c r="E11" s="27" t="s">
        <v>20</v>
      </c>
      <c r="F11" s="2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7.25" customHeight="1">
      <c r="A12" s="30" t="s">
        <v>21</v>
      </c>
      <c r="B12" s="26" t="s">
        <v>22</v>
      </c>
      <c r="C12" s="27"/>
      <c r="D12" s="27" t="s">
        <v>19</v>
      </c>
      <c r="E12" s="27" t="s">
        <v>23</v>
      </c>
      <c r="F12" s="31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9.5" customHeight="1">
      <c r="A13" s="32"/>
      <c r="B13" s="26"/>
      <c r="C13" s="33"/>
      <c r="D13" s="34"/>
      <c r="E13" s="27"/>
      <c r="F13" s="31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21.75" customHeight="1">
      <c r="A14" s="35"/>
      <c r="B14" s="36"/>
      <c r="C14" s="37"/>
      <c r="D14" s="37"/>
      <c r="E14" s="37"/>
      <c r="F14" s="31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9.5" customHeight="1">
      <c r="A15" s="35"/>
      <c r="B15" s="36"/>
      <c r="C15" s="37"/>
      <c r="D15" s="37"/>
      <c r="E15" s="37"/>
      <c r="F15" s="31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21.75" customHeight="1">
      <c r="A16" s="35"/>
      <c r="B16" s="36"/>
      <c r="C16" s="37"/>
      <c r="D16" s="37"/>
      <c r="E16" s="37"/>
      <c r="F16" s="31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9.5" customHeight="1">
      <c r="A17" s="38"/>
      <c r="B17" s="39"/>
      <c r="C17" s="40"/>
      <c r="D17" s="40"/>
      <c r="E17" s="40"/>
      <c r="F17" s="41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2.7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2:F2"/>
    <mergeCell ref="B4:D4"/>
    <mergeCell ref="B5:D5"/>
    <mergeCell ref="B6:D6"/>
  </mergeCells>
  <printOptions/>
  <pageMargins bottom="0.35138888888888886" footer="0.0" header="0.0" left="0.4701388888888889" right="0.4701388888888889" top="0.5"/>
  <pageSetup paperSize="9" orientation="landscape"/>
  <headerFooter>
    <oddFooter>&amp;L 02ae-BM/PM/HDCV/FSOFT v2/1&amp;CInternal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1.88"/>
    <col customWidth="1" min="3" max="3" width="33.13"/>
    <col customWidth="1" min="4" max="4" width="27.5"/>
    <col customWidth="1" min="5" max="5" width="28.13"/>
    <col customWidth="1" min="6" max="6" width="30.63"/>
    <col customWidth="1" min="7" max="26" width="9.0"/>
  </cols>
  <sheetData>
    <row r="1" ht="12.75" customHeight="1">
      <c r="A1" s="10"/>
      <c r="B1" s="42"/>
      <c r="C1" s="43"/>
      <c r="D1" s="44" t="s">
        <v>24</v>
      </c>
      <c r="E1" s="45"/>
      <c r="F1" s="43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A2" s="10"/>
      <c r="B2" s="42"/>
      <c r="C2" s="43"/>
      <c r="D2" s="46"/>
      <c r="E2" s="46"/>
      <c r="F2" s="43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0"/>
      <c r="B3" s="47" t="s">
        <v>1</v>
      </c>
      <c r="C3" s="48"/>
      <c r="D3" s="49" t="s">
        <v>25</v>
      </c>
      <c r="E3" s="5"/>
      <c r="F3" s="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0"/>
      <c r="B4" s="47" t="s">
        <v>5</v>
      </c>
      <c r="C4" s="48"/>
      <c r="D4" s="49" t="s">
        <v>6</v>
      </c>
      <c r="E4" s="5"/>
      <c r="F4" s="6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84.75" customHeight="1">
      <c r="A5" s="50"/>
      <c r="B5" s="51" t="s">
        <v>26</v>
      </c>
      <c r="C5" s="6"/>
      <c r="D5" s="52" t="s">
        <v>27</v>
      </c>
      <c r="E5" s="5"/>
      <c r="F5" s="6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2.75" customHeight="1">
      <c r="A6" s="10"/>
      <c r="B6" s="53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54"/>
      <c r="B7" s="55"/>
      <c r="C7" s="56"/>
      <c r="D7" s="56"/>
      <c r="E7" s="56"/>
      <c r="F7" s="56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21.0" customHeight="1">
      <c r="A8" s="57"/>
      <c r="B8" s="58" t="s">
        <v>28</v>
      </c>
      <c r="C8" s="59" t="s">
        <v>29</v>
      </c>
      <c r="D8" s="59" t="s">
        <v>30</v>
      </c>
      <c r="E8" s="60" t="s">
        <v>31</v>
      </c>
      <c r="F8" s="61" t="s">
        <v>32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12.75" customHeight="1">
      <c r="A9" s="62"/>
      <c r="B9" s="63">
        <v>1.0</v>
      </c>
      <c r="C9" s="64" t="s">
        <v>33</v>
      </c>
      <c r="D9" s="65" t="s">
        <v>34</v>
      </c>
      <c r="E9" s="66"/>
      <c r="F9" s="67"/>
      <c r="G9" s="68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62"/>
      <c r="B10" s="69">
        <v>2.0</v>
      </c>
      <c r="C10" s="64" t="s">
        <v>35</v>
      </c>
      <c r="D10" s="65" t="s">
        <v>34</v>
      </c>
      <c r="E10" s="66"/>
      <c r="F10" s="67"/>
      <c r="G10" s="68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62"/>
      <c r="B11" s="63">
        <v>3.0</v>
      </c>
      <c r="C11" s="64" t="s">
        <v>36</v>
      </c>
      <c r="D11" s="65" t="s">
        <v>34</v>
      </c>
      <c r="E11" s="66"/>
      <c r="F11" s="67"/>
      <c r="G11" s="68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62"/>
      <c r="B12" s="63">
        <v>4.0</v>
      </c>
      <c r="C12" s="64" t="s">
        <v>37</v>
      </c>
      <c r="D12" s="65" t="s">
        <v>34</v>
      </c>
      <c r="E12" s="66"/>
      <c r="F12" s="67"/>
      <c r="G12" s="68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62"/>
      <c r="B13" s="69">
        <v>5.0</v>
      </c>
      <c r="C13" s="64" t="s">
        <v>38</v>
      </c>
      <c r="D13" s="65" t="s">
        <v>39</v>
      </c>
      <c r="E13" s="66"/>
      <c r="F13" s="67"/>
      <c r="G13" s="68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62"/>
      <c r="B14" s="63">
        <v>6.0</v>
      </c>
      <c r="C14" s="64" t="s">
        <v>40</v>
      </c>
      <c r="D14" s="65" t="s">
        <v>39</v>
      </c>
      <c r="E14" s="66"/>
      <c r="F14" s="67"/>
      <c r="G14" s="68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62"/>
      <c r="B15" s="63">
        <v>7.0</v>
      </c>
      <c r="C15" s="64" t="s">
        <v>41</v>
      </c>
      <c r="D15" s="65" t="s">
        <v>39</v>
      </c>
      <c r="E15" s="66"/>
      <c r="F15" s="67"/>
      <c r="G15" s="68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62"/>
      <c r="B16" s="69">
        <v>8.0</v>
      </c>
      <c r="C16" s="64" t="s">
        <v>42</v>
      </c>
      <c r="D16" s="65" t="s">
        <v>39</v>
      </c>
      <c r="E16" s="66"/>
      <c r="F16" s="67"/>
      <c r="G16" s="68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62"/>
      <c r="B17" s="63">
        <v>9.0</v>
      </c>
      <c r="C17" s="64" t="s">
        <v>43</v>
      </c>
      <c r="D17" s="65" t="s">
        <v>39</v>
      </c>
      <c r="E17" s="66"/>
      <c r="F17" s="67"/>
      <c r="G17" s="68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62"/>
      <c r="B18" s="63">
        <v>10.0</v>
      </c>
      <c r="C18" s="64" t="s">
        <v>44</v>
      </c>
      <c r="D18" s="65" t="s">
        <v>39</v>
      </c>
      <c r="E18" s="66"/>
      <c r="F18" s="67"/>
      <c r="G18" s="68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62"/>
      <c r="B19" s="69">
        <v>11.0</v>
      </c>
      <c r="C19" s="64" t="s">
        <v>45</v>
      </c>
      <c r="D19" s="65" t="s">
        <v>39</v>
      </c>
      <c r="E19" s="66"/>
      <c r="F19" s="67"/>
      <c r="G19" s="68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62"/>
      <c r="B20" s="63">
        <v>12.0</v>
      </c>
      <c r="C20" s="64" t="s">
        <v>46</v>
      </c>
      <c r="D20" s="65" t="s">
        <v>39</v>
      </c>
      <c r="E20" s="66"/>
      <c r="F20" s="67"/>
      <c r="G20" s="68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62"/>
      <c r="B21" s="63">
        <v>13.0</v>
      </c>
      <c r="C21" s="64" t="s">
        <v>47</v>
      </c>
      <c r="D21" s="65" t="s">
        <v>39</v>
      </c>
      <c r="E21" s="66"/>
      <c r="F21" s="67"/>
      <c r="G21" s="68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62"/>
      <c r="B22" s="69">
        <v>14.0</v>
      </c>
      <c r="C22" s="64" t="s">
        <v>48</v>
      </c>
      <c r="D22" s="65" t="s">
        <v>39</v>
      </c>
      <c r="E22" s="66"/>
      <c r="F22" s="67"/>
      <c r="G22" s="68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62"/>
      <c r="B23" s="63">
        <v>15.0</v>
      </c>
      <c r="C23" s="64" t="s">
        <v>49</v>
      </c>
      <c r="D23" s="65" t="s">
        <v>39</v>
      </c>
      <c r="E23" s="66"/>
      <c r="F23" s="67"/>
      <c r="G23" s="68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62"/>
      <c r="B24" s="63">
        <v>16.0</v>
      </c>
      <c r="C24" s="64" t="s">
        <v>50</v>
      </c>
      <c r="D24" s="65" t="s">
        <v>51</v>
      </c>
      <c r="E24" s="66"/>
      <c r="F24" s="67"/>
      <c r="G24" s="68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62"/>
      <c r="B25" s="69">
        <v>17.0</v>
      </c>
      <c r="C25" s="64" t="s">
        <v>52</v>
      </c>
      <c r="D25" s="65" t="s">
        <v>51</v>
      </c>
      <c r="E25" s="66"/>
      <c r="F25" s="67"/>
      <c r="G25" s="68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62"/>
      <c r="B26" s="63">
        <v>18.0</v>
      </c>
      <c r="C26" s="64" t="s">
        <v>53</v>
      </c>
      <c r="D26" s="65" t="s">
        <v>51</v>
      </c>
      <c r="E26" s="66"/>
      <c r="F26" s="67"/>
      <c r="G26" s="68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62"/>
      <c r="B27" s="63">
        <v>19.0</v>
      </c>
      <c r="C27" s="64" t="s">
        <v>54</v>
      </c>
      <c r="D27" s="65" t="s">
        <v>51</v>
      </c>
      <c r="E27" s="66"/>
      <c r="F27" s="67"/>
      <c r="G27" s="68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62"/>
      <c r="B28" s="69">
        <v>20.0</v>
      </c>
      <c r="C28" s="64" t="s">
        <v>55</v>
      </c>
      <c r="D28" s="65" t="s">
        <v>51</v>
      </c>
      <c r="E28" s="67"/>
      <c r="F28" s="67"/>
      <c r="G28" s="68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62"/>
      <c r="B29" s="63">
        <v>21.0</v>
      </c>
      <c r="C29" s="64" t="s">
        <v>56</v>
      </c>
      <c r="D29" s="65" t="s">
        <v>51</v>
      </c>
      <c r="E29" s="67"/>
      <c r="F29" s="67"/>
      <c r="G29" s="68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62"/>
      <c r="B30" s="69">
        <v>22.0</v>
      </c>
      <c r="C30" s="64" t="s">
        <v>57</v>
      </c>
      <c r="D30" s="65" t="s">
        <v>51</v>
      </c>
      <c r="E30" s="67"/>
      <c r="F30" s="67"/>
      <c r="G30" s="68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62"/>
      <c r="B31" s="63">
        <v>23.0</v>
      </c>
      <c r="C31" s="64" t="s">
        <v>58</v>
      </c>
      <c r="D31" s="65" t="s">
        <v>59</v>
      </c>
      <c r="E31" s="67"/>
      <c r="F31" s="67"/>
      <c r="G31" s="68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62"/>
      <c r="B32" s="69">
        <v>24.0</v>
      </c>
      <c r="C32" s="64" t="s">
        <v>60</v>
      </c>
      <c r="D32" s="65" t="s">
        <v>59</v>
      </c>
      <c r="E32" s="67"/>
      <c r="F32" s="67"/>
      <c r="G32" s="68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62"/>
      <c r="B33" s="63">
        <v>25.0</v>
      </c>
      <c r="C33" s="64" t="s">
        <v>61</v>
      </c>
      <c r="D33" s="65" t="s">
        <v>59</v>
      </c>
      <c r="E33" s="67"/>
      <c r="F33" s="67"/>
      <c r="G33" s="68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62"/>
      <c r="B34" s="69">
        <v>26.0</v>
      </c>
      <c r="C34" s="64" t="s">
        <v>62</v>
      </c>
      <c r="D34" s="65" t="s">
        <v>59</v>
      </c>
      <c r="E34" s="67"/>
      <c r="F34" s="67"/>
      <c r="G34" s="68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62"/>
      <c r="B35" s="63">
        <v>27.0</v>
      </c>
      <c r="C35" s="64" t="s">
        <v>63</v>
      </c>
      <c r="D35" s="65" t="s">
        <v>59</v>
      </c>
      <c r="E35" s="67"/>
      <c r="F35" s="67"/>
      <c r="G35" s="68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62"/>
      <c r="B36" s="69">
        <v>28.0</v>
      </c>
      <c r="C36" s="64" t="s">
        <v>64</v>
      </c>
      <c r="D36" s="65" t="s">
        <v>59</v>
      </c>
      <c r="E36" s="67"/>
      <c r="F36" s="67"/>
      <c r="G36" s="68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62"/>
      <c r="B37" s="63">
        <v>29.0</v>
      </c>
      <c r="C37" s="64" t="s">
        <v>65</v>
      </c>
      <c r="D37" s="65" t="s">
        <v>59</v>
      </c>
      <c r="E37" s="67"/>
      <c r="F37" s="67"/>
      <c r="G37" s="68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62"/>
      <c r="B38" s="69">
        <v>30.0</v>
      </c>
      <c r="C38" s="70" t="s">
        <v>66</v>
      </c>
      <c r="D38" s="65" t="s">
        <v>67</v>
      </c>
      <c r="E38" s="71"/>
      <c r="F38" s="71"/>
      <c r="G38" s="68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62"/>
      <c r="B39" s="63">
        <v>31.0</v>
      </c>
      <c r="C39" s="70" t="s">
        <v>68</v>
      </c>
      <c r="D39" s="65" t="s">
        <v>67</v>
      </c>
      <c r="E39" s="71"/>
      <c r="F39" s="71"/>
      <c r="G39" s="68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62"/>
      <c r="B40" s="69">
        <v>32.0</v>
      </c>
      <c r="C40" s="70" t="s">
        <v>69</v>
      </c>
      <c r="D40" s="72" t="s">
        <v>70</v>
      </c>
      <c r="E40" s="71"/>
      <c r="F40" s="71"/>
      <c r="G40" s="68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62"/>
      <c r="B41" s="63">
        <v>33.0</v>
      </c>
      <c r="C41" s="70" t="s">
        <v>71</v>
      </c>
      <c r="D41" s="72" t="s">
        <v>70</v>
      </c>
      <c r="E41" s="71"/>
      <c r="F41" s="71"/>
      <c r="G41" s="68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62"/>
      <c r="B42" s="69">
        <v>34.0</v>
      </c>
      <c r="C42" s="64" t="s">
        <v>72</v>
      </c>
      <c r="D42" s="72" t="s">
        <v>70</v>
      </c>
      <c r="E42" s="71"/>
      <c r="F42" s="71"/>
      <c r="G42" s="68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62"/>
      <c r="B43" s="63">
        <v>35.0</v>
      </c>
      <c r="C43" s="64" t="s">
        <v>73</v>
      </c>
      <c r="D43" s="65" t="s">
        <v>74</v>
      </c>
      <c r="E43" s="71"/>
      <c r="F43" s="71"/>
      <c r="G43" s="68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62"/>
      <c r="B44" s="69">
        <v>36.0</v>
      </c>
      <c r="C44" s="64" t="s">
        <v>75</v>
      </c>
      <c r="D44" s="65" t="s">
        <v>74</v>
      </c>
      <c r="E44" s="71"/>
      <c r="F44" s="71"/>
      <c r="G44" s="68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62"/>
      <c r="B45" s="63">
        <v>37.0</v>
      </c>
      <c r="C45" s="64" t="s">
        <v>76</v>
      </c>
      <c r="D45" s="65" t="s">
        <v>74</v>
      </c>
      <c r="E45" s="71"/>
      <c r="F45" s="70"/>
      <c r="G45" s="68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62"/>
      <c r="B46" s="69">
        <v>38.0</v>
      </c>
      <c r="C46" s="64" t="s">
        <v>77</v>
      </c>
      <c r="D46" s="65" t="s">
        <v>74</v>
      </c>
      <c r="E46" s="71"/>
      <c r="F46" s="70"/>
      <c r="G46" s="68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62"/>
      <c r="B47" s="63">
        <v>39.0</v>
      </c>
      <c r="C47" s="64" t="s">
        <v>78</v>
      </c>
      <c r="D47" s="65" t="s">
        <v>79</v>
      </c>
      <c r="E47" s="71"/>
      <c r="F47" s="70"/>
      <c r="G47" s="68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62"/>
      <c r="B48" s="69">
        <v>40.0</v>
      </c>
      <c r="C48" s="64" t="s">
        <v>80</v>
      </c>
      <c r="D48" s="65" t="s">
        <v>79</v>
      </c>
      <c r="E48" s="71"/>
      <c r="F48" s="70"/>
      <c r="G48" s="68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62"/>
      <c r="B49" s="63">
        <v>41.0</v>
      </c>
      <c r="C49" s="64" t="s">
        <v>81</v>
      </c>
      <c r="D49" s="65" t="s">
        <v>82</v>
      </c>
      <c r="E49" s="71"/>
      <c r="F49" s="70"/>
      <c r="G49" s="68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62"/>
      <c r="B50" s="69">
        <v>42.0</v>
      </c>
      <c r="C50" s="64" t="s">
        <v>83</v>
      </c>
      <c r="D50" s="65" t="s">
        <v>82</v>
      </c>
      <c r="E50" s="71"/>
      <c r="F50" s="70"/>
      <c r="G50" s="68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62"/>
      <c r="B51" s="63">
        <v>43.0</v>
      </c>
      <c r="C51" s="64" t="s">
        <v>84</v>
      </c>
      <c r="D51" s="65" t="s">
        <v>82</v>
      </c>
      <c r="E51" s="71"/>
      <c r="F51" s="70"/>
      <c r="G51" s="68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62"/>
      <c r="B52" s="69">
        <v>44.0</v>
      </c>
      <c r="C52" s="64" t="s">
        <v>85</v>
      </c>
      <c r="D52" s="65" t="s">
        <v>82</v>
      </c>
      <c r="E52" s="71"/>
      <c r="F52" s="71"/>
      <c r="G52" s="68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62"/>
      <c r="B53" s="63">
        <v>45.0</v>
      </c>
      <c r="C53" s="64" t="s">
        <v>86</v>
      </c>
      <c r="D53" s="65" t="s">
        <v>82</v>
      </c>
      <c r="E53" s="71"/>
      <c r="F53" s="71"/>
      <c r="G53" s="68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62"/>
      <c r="B54" s="69">
        <v>46.0</v>
      </c>
      <c r="C54" s="64" t="s">
        <v>87</v>
      </c>
      <c r="D54" s="65" t="s">
        <v>82</v>
      </c>
      <c r="E54" s="71"/>
      <c r="F54" s="71"/>
      <c r="G54" s="68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62"/>
      <c r="B55" s="63">
        <v>47.0</v>
      </c>
      <c r="C55" s="64" t="s">
        <v>88</v>
      </c>
      <c r="D55" s="65" t="s">
        <v>89</v>
      </c>
      <c r="E55" s="71"/>
      <c r="F55" s="71"/>
      <c r="G55" s="68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62"/>
      <c r="B56" s="69">
        <v>48.0</v>
      </c>
      <c r="C56" s="70" t="s">
        <v>90</v>
      </c>
      <c r="D56" s="65" t="s">
        <v>89</v>
      </c>
      <c r="E56" s="71"/>
      <c r="F56" s="71"/>
      <c r="G56" s="68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62"/>
      <c r="B57" s="63">
        <v>49.0</v>
      </c>
      <c r="C57" s="70" t="s">
        <v>91</v>
      </c>
      <c r="D57" s="65" t="s">
        <v>89</v>
      </c>
      <c r="E57" s="71"/>
      <c r="F57" s="71"/>
      <c r="G57" s="68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62"/>
      <c r="B58" s="69">
        <v>50.0</v>
      </c>
      <c r="C58" s="70" t="s">
        <v>92</v>
      </c>
      <c r="D58" s="65" t="s">
        <v>89</v>
      </c>
      <c r="E58" s="71"/>
      <c r="F58" s="71"/>
      <c r="G58" s="68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62"/>
      <c r="B59" s="63">
        <v>51.0</v>
      </c>
      <c r="C59" s="70" t="s">
        <v>93</v>
      </c>
      <c r="D59" s="65" t="s">
        <v>89</v>
      </c>
      <c r="E59" s="71"/>
      <c r="F59" s="71"/>
      <c r="G59" s="68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62"/>
      <c r="B60" s="69">
        <v>52.0</v>
      </c>
      <c r="C60" s="73" t="s">
        <v>94</v>
      </c>
      <c r="D60" s="65" t="s">
        <v>89</v>
      </c>
      <c r="E60" s="71"/>
      <c r="F60" s="71"/>
      <c r="G60" s="68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62"/>
      <c r="B61" s="63">
        <v>53.0</v>
      </c>
      <c r="C61" s="73" t="s">
        <v>95</v>
      </c>
      <c r="D61" s="65" t="s">
        <v>89</v>
      </c>
      <c r="E61" s="71"/>
      <c r="F61" s="71"/>
      <c r="G61" s="68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62"/>
      <c r="B62" s="69">
        <v>54.0</v>
      </c>
      <c r="C62" s="73" t="s">
        <v>96</v>
      </c>
      <c r="D62" s="65" t="s">
        <v>89</v>
      </c>
      <c r="E62" s="71"/>
      <c r="F62" s="71"/>
      <c r="G62" s="68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62"/>
      <c r="B63" s="63">
        <v>55.0</v>
      </c>
      <c r="C63" s="73" t="s">
        <v>97</v>
      </c>
      <c r="D63" s="65" t="s">
        <v>89</v>
      </c>
      <c r="E63" s="71"/>
      <c r="F63" s="71"/>
      <c r="G63" s="68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62"/>
      <c r="B64" s="69">
        <v>56.0</v>
      </c>
      <c r="C64" s="73" t="s">
        <v>98</v>
      </c>
      <c r="D64" s="65" t="s">
        <v>89</v>
      </c>
      <c r="E64" s="71"/>
      <c r="F64" s="71"/>
      <c r="G64" s="68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62"/>
      <c r="B65" s="63">
        <v>57.0</v>
      </c>
      <c r="C65" s="73" t="s">
        <v>99</v>
      </c>
      <c r="D65" s="65" t="s">
        <v>89</v>
      </c>
      <c r="E65" s="71"/>
      <c r="F65" s="71"/>
      <c r="G65" s="68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62"/>
      <c r="B66" s="69">
        <v>58.0</v>
      </c>
      <c r="C66" s="73" t="s">
        <v>100</v>
      </c>
      <c r="D66" s="65" t="s">
        <v>89</v>
      </c>
      <c r="E66" s="71"/>
      <c r="F66" s="71"/>
      <c r="G66" s="68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62"/>
      <c r="B67" s="63">
        <v>59.0</v>
      </c>
      <c r="C67" s="73" t="s">
        <v>101</v>
      </c>
      <c r="D67" s="65" t="s">
        <v>89</v>
      </c>
      <c r="E67" s="71"/>
      <c r="F67" s="71"/>
      <c r="G67" s="68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62"/>
      <c r="B68" s="69">
        <v>60.0</v>
      </c>
      <c r="C68" s="73" t="s">
        <v>102</v>
      </c>
      <c r="D68" s="65" t="s">
        <v>103</v>
      </c>
      <c r="E68" s="71"/>
      <c r="F68" s="71"/>
      <c r="G68" s="68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62"/>
      <c r="B69" s="63">
        <v>61.0</v>
      </c>
      <c r="C69" s="73" t="s">
        <v>104</v>
      </c>
      <c r="D69" s="65" t="s">
        <v>103</v>
      </c>
      <c r="E69" s="71"/>
      <c r="F69" s="71"/>
      <c r="G69" s="68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62"/>
      <c r="B70" s="69">
        <v>62.0</v>
      </c>
      <c r="C70" s="73" t="s">
        <v>105</v>
      </c>
      <c r="D70" s="65" t="s">
        <v>103</v>
      </c>
      <c r="E70" s="71"/>
      <c r="F70" s="71"/>
      <c r="G70" s="68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62"/>
      <c r="B71" s="63">
        <v>63.0</v>
      </c>
      <c r="C71" s="73" t="s">
        <v>106</v>
      </c>
      <c r="D71" s="65" t="s">
        <v>107</v>
      </c>
      <c r="E71" s="71"/>
      <c r="F71" s="71"/>
      <c r="G71" s="68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74"/>
      <c r="B72" s="69">
        <v>64.0</v>
      </c>
      <c r="C72" s="73" t="s">
        <v>108</v>
      </c>
      <c r="D72" s="65" t="s">
        <v>107</v>
      </c>
      <c r="E72" s="71"/>
      <c r="F72" s="71"/>
      <c r="G72" s="68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75"/>
      <c r="B73" s="63">
        <v>65.0</v>
      </c>
      <c r="C73" s="73" t="s">
        <v>109</v>
      </c>
      <c r="D73" s="65" t="s">
        <v>107</v>
      </c>
      <c r="E73" s="71"/>
      <c r="F73" s="71"/>
      <c r="G73" s="68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75"/>
      <c r="B74" s="69">
        <v>66.0</v>
      </c>
      <c r="C74" s="70" t="s">
        <v>110</v>
      </c>
      <c r="D74" s="72" t="s">
        <v>111</v>
      </c>
      <c r="E74" s="71"/>
      <c r="F74" s="71"/>
      <c r="G74" s="68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75"/>
      <c r="B75" s="63">
        <v>67.0</v>
      </c>
      <c r="C75" s="70" t="s">
        <v>112</v>
      </c>
      <c r="D75" s="72" t="s">
        <v>111</v>
      </c>
      <c r="E75" s="71"/>
      <c r="F75" s="71"/>
      <c r="G75" s="68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75"/>
      <c r="B76" s="69">
        <v>68.0</v>
      </c>
      <c r="C76" s="70" t="s">
        <v>113</v>
      </c>
      <c r="D76" s="72" t="s">
        <v>111</v>
      </c>
      <c r="E76" s="71"/>
      <c r="F76" s="71"/>
      <c r="G76" s="68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75"/>
      <c r="B77" s="63">
        <v>69.0</v>
      </c>
      <c r="C77" s="70" t="s">
        <v>114</v>
      </c>
      <c r="D77" s="72" t="s">
        <v>111</v>
      </c>
      <c r="E77" s="71"/>
      <c r="F77" s="71"/>
      <c r="G77" s="68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75"/>
      <c r="B78" s="69">
        <v>70.0</v>
      </c>
      <c r="C78" s="70" t="s">
        <v>115</v>
      </c>
      <c r="D78" s="72" t="s">
        <v>111</v>
      </c>
      <c r="E78" s="71"/>
      <c r="F78" s="71"/>
      <c r="G78" s="68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75"/>
      <c r="B79" s="63">
        <v>71.0</v>
      </c>
      <c r="C79" s="70" t="s">
        <v>116</v>
      </c>
      <c r="D79" s="72" t="s">
        <v>111</v>
      </c>
      <c r="E79" s="71"/>
      <c r="F79" s="71"/>
      <c r="G79" s="68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75"/>
      <c r="B80" s="69">
        <v>72.0</v>
      </c>
      <c r="C80" s="70" t="s">
        <v>117</v>
      </c>
      <c r="D80" s="72" t="s">
        <v>118</v>
      </c>
      <c r="E80" s="71"/>
      <c r="F80" s="71"/>
      <c r="G80" s="68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75"/>
      <c r="B81" s="63">
        <v>73.0</v>
      </c>
      <c r="C81" s="70" t="s">
        <v>119</v>
      </c>
      <c r="D81" s="72" t="s">
        <v>118</v>
      </c>
      <c r="E81" s="71"/>
      <c r="F81" s="71"/>
      <c r="G81" s="68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75"/>
      <c r="B82" s="69">
        <v>74.0</v>
      </c>
      <c r="C82" s="70" t="s">
        <v>120</v>
      </c>
      <c r="D82" s="72" t="s">
        <v>118</v>
      </c>
      <c r="E82" s="71"/>
      <c r="F82" s="71"/>
      <c r="G82" s="68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75"/>
      <c r="B83" s="63">
        <v>75.0</v>
      </c>
      <c r="C83" s="70" t="s">
        <v>121</v>
      </c>
      <c r="D83" s="72" t="s">
        <v>118</v>
      </c>
      <c r="E83" s="71"/>
      <c r="F83" s="71"/>
      <c r="G83" s="68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75"/>
      <c r="B84" s="69">
        <v>76.0</v>
      </c>
      <c r="C84" s="70" t="s">
        <v>122</v>
      </c>
      <c r="D84" s="72" t="s">
        <v>118</v>
      </c>
      <c r="E84" s="71"/>
      <c r="F84" s="71"/>
      <c r="G84" s="68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75"/>
      <c r="B85" s="63">
        <v>77.0</v>
      </c>
      <c r="C85" s="70" t="s">
        <v>123</v>
      </c>
      <c r="D85" s="72" t="s">
        <v>124</v>
      </c>
      <c r="E85" s="71"/>
      <c r="F85" s="71"/>
      <c r="G85" s="68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75"/>
      <c r="B86" s="69">
        <v>78.0</v>
      </c>
      <c r="C86" s="70" t="s">
        <v>125</v>
      </c>
      <c r="D86" s="72" t="s">
        <v>124</v>
      </c>
      <c r="E86" s="71"/>
      <c r="F86" s="71"/>
      <c r="G86" s="68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75"/>
      <c r="B87" s="63">
        <v>79.0</v>
      </c>
      <c r="C87" s="70" t="s">
        <v>126</v>
      </c>
      <c r="D87" s="72" t="s">
        <v>124</v>
      </c>
      <c r="E87" s="71"/>
      <c r="F87" s="71"/>
      <c r="G87" s="68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75"/>
      <c r="B88" s="69">
        <v>80.0</v>
      </c>
      <c r="C88" s="70" t="s">
        <v>127</v>
      </c>
      <c r="D88" s="72" t="s">
        <v>124</v>
      </c>
      <c r="E88" s="71"/>
      <c r="F88" s="71"/>
      <c r="G88" s="68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76"/>
      <c r="B89" s="77"/>
      <c r="C89" s="78"/>
      <c r="D89" s="78"/>
      <c r="E89" s="78"/>
      <c r="F89" s="78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42"/>
      <c r="C90" s="43"/>
      <c r="D90" s="43"/>
      <c r="E90" s="43"/>
      <c r="F90" s="43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42"/>
      <c r="C91" s="43"/>
      <c r="D91" s="43"/>
      <c r="E91" s="43"/>
      <c r="F91" s="43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42"/>
      <c r="C92" s="43"/>
      <c r="D92" s="43"/>
      <c r="E92" s="43"/>
      <c r="F92" s="43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42"/>
      <c r="C93" s="43"/>
      <c r="D93" s="43"/>
      <c r="E93" s="43"/>
      <c r="F93" s="43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42"/>
      <c r="C94" s="43"/>
      <c r="D94" s="43"/>
      <c r="E94" s="43"/>
      <c r="F94" s="43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42"/>
      <c r="C95" s="43"/>
      <c r="D95" s="43"/>
      <c r="E95" s="43"/>
      <c r="F95" s="43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42"/>
      <c r="C96" s="43"/>
      <c r="D96" s="43"/>
      <c r="E96" s="43"/>
      <c r="F96" s="43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42"/>
      <c r="C97" s="43"/>
      <c r="D97" s="43"/>
      <c r="E97" s="43"/>
      <c r="F97" s="43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42"/>
      <c r="C98" s="43"/>
      <c r="D98" s="43"/>
      <c r="E98" s="43"/>
      <c r="F98" s="43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42"/>
      <c r="C99" s="43"/>
      <c r="D99" s="43"/>
      <c r="E99" s="43"/>
      <c r="F99" s="43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42"/>
      <c r="C100" s="43"/>
      <c r="D100" s="43"/>
      <c r="E100" s="43"/>
      <c r="F100" s="43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42"/>
      <c r="C101" s="43"/>
      <c r="D101" s="43"/>
      <c r="E101" s="43"/>
      <c r="F101" s="43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42"/>
      <c r="C102" s="43"/>
      <c r="D102" s="43"/>
      <c r="E102" s="43"/>
      <c r="F102" s="43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42"/>
      <c r="C103" s="43"/>
      <c r="D103" s="43"/>
      <c r="E103" s="43"/>
      <c r="F103" s="43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42"/>
      <c r="C104" s="43"/>
      <c r="D104" s="43"/>
      <c r="E104" s="43"/>
      <c r="F104" s="43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42"/>
      <c r="C105" s="43"/>
      <c r="D105" s="43"/>
      <c r="E105" s="43"/>
      <c r="F105" s="43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42"/>
      <c r="C106" s="43"/>
      <c r="D106" s="43"/>
      <c r="E106" s="43"/>
      <c r="F106" s="43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42"/>
      <c r="C107" s="43"/>
      <c r="D107" s="43"/>
      <c r="E107" s="43"/>
      <c r="F107" s="43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42"/>
      <c r="C108" s="43"/>
      <c r="D108" s="43"/>
      <c r="E108" s="43"/>
      <c r="F108" s="43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42"/>
      <c r="C109" s="43"/>
      <c r="D109" s="43"/>
      <c r="E109" s="43"/>
      <c r="F109" s="43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42"/>
      <c r="C110" s="43"/>
      <c r="D110" s="43"/>
      <c r="E110" s="43"/>
      <c r="F110" s="43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42"/>
      <c r="C111" s="43"/>
      <c r="D111" s="43"/>
      <c r="E111" s="43"/>
      <c r="F111" s="43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42"/>
      <c r="C112" s="43"/>
      <c r="D112" s="43"/>
      <c r="E112" s="43"/>
      <c r="F112" s="43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42"/>
      <c r="C113" s="43"/>
      <c r="D113" s="43"/>
      <c r="E113" s="43"/>
      <c r="F113" s="43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42"/>
      <c r="C114" s="43"/>
      <c r="D114" s="43"/>
      <c r="E114" s="43"/>
      <c r="F114" s="43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42"/>
      <c r="C115" s="43"/>
      <c r="D115" s="43"/>
      <c r="E115" s="43"/>
      <c r="F115" s="43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42"/>
      <c r="C116" s="43"/>
      <c r="D116" s="43"/>
      <c r="E116" s="43"/>
      <c r="F116" s="43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42"/>
      <c r="C117" s="43"/>
      <c r="D117" s="43"/>
      <c r="E117" s="43"/>
      <c r="F117" s="43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42"/>
      <c r="C118" s="43"/>
      <c r="D118" s="43"/>
      <c r="E118" s="43"/>
      <c r="F118" s="43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42"/>
      <c r="C119" s="43"/>
      <c r="D119" s="43"/>
      <c r="E119" s="43"/>
      <c r="F119" s="43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42"/>
      <c r="C120" s="43"/>
      <c r="D120" s="43"/>
      <c r="E120" s="43"/>
      <c r="F120" s="43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42"/>
      <c r="C121" s="43"/>
      <c r="D121" s="43"/>
      <c r="E121" s="43"/>
      <c r="F121" s="43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42"/>
      <c r="C122" s="43"/>
      <c r="D122" s="43"/>
      <c r="E122" s="43"/>
      <c r="F122" s="43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42"/>
      <c r="C123" s="43"/>
      <c r="D123" s="43"/>
      <c r="E123" s="43"/>
      <c r="F123" s="43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42"/>
      <c r="C124" s="43"/>
      <c r="D124" s="43"/>
      <c r="E124" s="43"/>
      <c r="F124" s="43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42"/>
      <c r="C125" s="43"/>
      <c r="D125" s="43"/>
      <c r="E125" s="43"/>
      <c r="F125" s="43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42"/>
      <c r="C126" s="43"/>
      <c r="D126" s="43"/>
      <c r="E126" s="43"/>
      <c r="F126" s="43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42"/>
      <c r="C127" s="43"/>
      <c r="D127" s="43"/>
      <c r="E127" s="43"/>
      <c r="F127" s="43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42"/>
      <c r="C128" s="43"/>
      <c r="D128" s="43"/>
      <c r="E128" s="43"/>
      <c r="F128" s="43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42"/>
      <c r="C129" s="43"/>
      <c r="D129" s="43"/>
      <c r="E129" s="43"/>
      <c r="F129" s="43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42"/>
      <c r="C130" s="43"/>
      <c r="D130" s="43"/>
      <c r="E130" s="43"/>
      <c r="F130" s="43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42"/>
      <c r="C131" s="43"/>
      <c r="D131" s="43"/>
      <c r="E131" s="43"/>
      <c r="F131" s="43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42"/>
      <c r="C132" s="43"/>
      <c r="D132" s="43"/>
      <c r="E132" s="43"/>
      <c r="F132" s="43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42"/>
      <c r="C133" s="43"/>
      <c r="D133" s="43"/>
      <c r="E133" s="43"/>
      <c r="F133" s="43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42"/>
      <c r="C134" s="43"/>
      <c r="D134" s="43"/>
      <c r="E134" s="43"/>
      <c r="F134" s="43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42"/>
      <c r="C135" s="43"/>
      <c r="D135" s="43"/>
      <c r="E135" s="43"/>
      <c r="F135" s="43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42"/>
      <c r="C136" s="43"/>
      <c r="D136" s="43"/>
      <c r="E136" s="43"/>
      <c r="F136" s="43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42"/>
      <c r="C137" s="43"/>
      <c r="D137" s="43"/>
      <c r="E137" s="43"/>
      <c r="F137" s="43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42"/>
      <c r="C138" s="43"/>
      <c r="D138" s="43"/>
      <c r="E138" s="43"/>
      <c r="F138" s="43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42"/>
      <c r="C139" s="43"/>
      <c r="D139" s="43"/>
      <c r="E139" s="43"/>
      <c r="F139" s="43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42"/>
      <c r="C140" s="43"/>
      <c r="D140" s="43"/>
      <c r="E140" s="43"/>
      <c r="F140" s="43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42"/>
      <c r="C141" s="43"/>
      <c r="D141" s="43"/>
      <c r="E141" s="43"/>
      <c r="F141" s="43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42"/>
      <c r="C142" s="43"/>
      <c r="D142" s="43"/>
      <c r="E142" s="43"/>
      <c r="F142" s="43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42"/>
      <c r="C143" s="43"/>
      <c r="D143" s="43"/>
      <c r="E143" s="43"/>
      <c r="F143" s="43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42"/>
      <c r="C144" s="43"/>
      <c r="D144" s="43"/>
      <c r="E144" s="43"/>
      <c r="F144" s="43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42"/>
      <c r="C145" s="43"/>
      <c r="D145" s="43"/>
      <c r="E145" s="43"/>
      <c r="F145" s="43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42"/>
      <c r="C146" s="43"/>
      <c r="D146" s="43"/>
      <c r="E146" s="43"/>
      <c r="F146" s="43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42"/>
      <c r="C147" s="43"/>
      <c r="D147" s="43"/>
      <c r="E147" s="43"/>
      <c r="F147" s="43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42"/>
      <c r="C148" s="43"/>
      <c r="D148" s="43"/>
      <c r="E148" s="43"/>
      <c r="F148" s="43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42"/>
      <c r="C149" s="43"/>
      <c r="D149" s="43"/>
      <c r="E149" s="43"/>
      <c r="F149" s="43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42"/>
      <c r="C150" s="43"/>
      <c r="D150" s="43"/>
      <c r="E150" s="43"/>
      <c r="F150" s="43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42"/>
      <c r="C151" s="43"/>
      <c r="D151" s="43"/>
      <c r="E151" s="43"/>
      <c r="F151" s="43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42"/>
      <c r="C152" s="43"/>
      <c r="D152" s="43"/>
      <c r="E152" s="43"/>
      <c r="F152" s="43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42"/>
      <c r="C153" s="43"/>
      <c r="D153" s="43"/>
      <c r="E153" s="43"/>
      <c r="F153" s="43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42"/>
      <c r="C154" s="43"/>
      <c r="D154" s="43"/>
      <c r="E154" s="43"/>
      <c r="F154" s="43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42"/>
      <c r="C155" s="43"/>
      <c r="D155" s="43"/>
      <c r="E155" s="43"/>
      <c r="F155" s="43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42"/>
      <c r="C156" s="43"/>
      <c r="D156" s="43"/>
      <c r="E156" s="43"/>
      <c r="F156" s="43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42"/>
      <c r="C157" s="43"/>
      <c r="D157" s="43"/>
      <c r="E157" s="43"/>
      <c r="F157" s="43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42"/>
      <c r="C158" s="43"/>
      <c r="D158" s="43"/>
      <c r="E158" s="43"/>
      <c r="F158" s="43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42"/>
      <c r="C159" s="43"/>
      <c r="D159" s="43"/>
      <c r="E159" s="43"/>
      <c r="F159" s="43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42"/>
      <c r="C160" s="43"/>
      <c r="D160" s="43"/>
      <c r="E160" s="43"/>
      <c r="F160" s="43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42"/>
      <c r="C161" s="43"/>
      <c r="D161" s="43"/>
      <c r="E161" s="43"/>
      <c r="F161" s="43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42"/>
      <c r="C162" s="43"/>
      <c r="D162" s="43"/>
      <c r="E162" s="43"/>
      <c r="F162" s="43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42"/>
      <c r="C163" s="43"/>
      <c r="D163" s="43"/>
      <c r="E163" s="43"/>
      <c r="F163" s="43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42"/>
      <c r="C164" s="43"/>
      <c r="D164" s="43"/>
      <c r="E164" s="43"/>
      <c r="F164" s="43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42"/>
      <c r="C165" s="43"/>
      <c r="D165" s="43"/>
      <c r="E165" s="43"/>
      <c r="F165" s="43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42"/>
      <c r="C166" s="43"/>
      <c r="D166" s="43"/>
      <c r="E166" s="43"/>
      <c r="F166" s="43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42"/>
      <c r="C167" s="43"/>
      <c r="D167" s="43"/>
      <c r="E167" s="43"/>
      <c r="F167" s="43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42"/>
      <c r="C168" s="43"/>
      <c r="D168" s="43"/>
      <c r="E168" s="43"/>
      <c r="F168" s="43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42"/>
      <c r="C169" s="43"/>
      <c r="D169" s="43"/>
      <c r="E169" s="43"/>
      <c r="F169" s="43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42"/>
      <c r="C170" s="43"/>
      <c r="D170" s="43"/>
      <c r="E170" s="43"/>
      <c r="F170" s="43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42"/>
      <c r="C171" s="43"/>
      <c r="D171" s="43"/>
      <c r="E171" s="43"/>
      <c r="F171" s="43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42"/>
      <c r="C172" s="43"/>
      <c r="D172" s="43"/>
      <c r="E172" s="43"/>
      <c r="F172" s="43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42"/>
      <c r="C173" s="43"/>
      <c r="D173" s="43"/>
      <c r="E173" s="43"/>
      <c r="F173" s="43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42"/>
      <c r="C174" s="43"/>
      <c r="D174" s="43"/>
      <c r="E174" s="43"/>
      <c r="F174" s="43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42"/>
      <c r="C175" s="43"/>
      <c r="D175" s="43"/>
      <c r="E175" s="43"/>
      <c r="F175" s="43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42"/>
      <c r="C176" s="43"/>
      <c r="D176" s="43"/>
      <c r="E176" s="43"/>
      <c r="F176" s="43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42"/>
      <c r="C177" s="43"/>
      <c r="D177" s="43"/>
      <c r="E177" s="43"/>
      <c r="F177" s="43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42"/>
      <c r="C178" s="43"/>
      <c r="D178" s="43"/>
      <c r="E178" s="43"/>
      <c r="F178" s="43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42"/>
      <c r="C179" s="43"/>
      <c r="D179" s="43"/>
      <c r="E179" s="43"/>
      <c r="F179" s="43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42"/>
      <c r="C180" s="43"/>
      <c r="D180" s="43"/>
      <c r="E180" s="43"/>
      <c r="F180" s="43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42"/>
      <c r="C181" s="43"/>
      <c r="D181" s="43"/>
      <c r="E181" s="43"/>
      <c r="F181" s="43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42"/>
      <c r="C182" s="43"/>
      <c r="D182" s="43"/>
      <c r="E182" s="43"/>
      <c r="F182" s="43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42"/>
      <c r="C183" s="43"/>
      <c r="D183" s="43"/>
      <c r="E183" s="43"/>
      <c r="F183" s="43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42"/>
      <c r="C184" s="43"/>
      <c r="D184" s="43"/>
      <c r="E184" s="43"/>
      <c r="F184" s="43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42"/>
      <c r="C185" s="43"/>
      <c r="D185" s="43"/>
      <c r="E185" s="43"/>
      <c r="F185" s="43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42"/>
      <c r="C186" s="43"/>
      <c r="D186" s="43"/>
      <c r="E186" s="43"/>
      <c r="F186" s="43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42"/>
      <c r="C187" s="43"/>
      <c r="D187" s="43"/>
      <c r="E187" s="43"/>
      <c r="F187" s="43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42"/>
      <c r="C188" s="43"/>
      <c r="D188" s="43"/>
      <c r="E188" s="43"/>
      <c r="F188" s="43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42"/>
      <c r="C189" s="43"/>
      <c r="D189" s="43"/>
      <c r="E189" s="43"/>
      <c r="F189" s="43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42"/>
      <c r="C190" s="43"/>
      <c r="D190" s="43"/>
      <c r="E190" s="43"/>
      <c r="F190" s="43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42"/>
      <c r="C191" s="43"/>
      <c r="D191" s="43"/>
      <c r="E191" s="43"/>
      <c r="F191" s="43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42"/>
      <c r="C192" s="43"/>
      <c r="D192" s="43"/>
      <c r="E192" s="43"/>
      <c r="F192" s="43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42"/>
      <c r="C193" s="43"/>
      <c r="D193" s="43"/>
      <c r="E193" s="43"/>
      <c r="F193" s="43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42"/>
      <c r="C194" s="43"/>
      <c r="D194" s="43"/>
      <c r="E194" s="43"/>
      <c r="F194" s="43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42"/>
      <c r="C195" s="43"/>
      <c r="D195" s="43"/>
      <c r="E195" s="43"/>
      <c r="F195" s="43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42"/>
      <c r="C196" s="43"/>
      <c r="D196" s="43"/>
      <c r="E196" s="43"/>
      <c r="F196" s="43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42"/>
      <c r="C197" s="43"/>
      <c r="D197" s="43"/>
      <c r="E197" s="43"/>
      <c r="F197" s="43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42"/>
      <c r="C198" s="43"/>
      <c r="D198" s="43"/>
      <c r="E198" s="43"/>
      <c r="F198" s="43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42"/>
      <c r="C199" s="43"/>
      <c r="D199" s="43"/>
      <c r="E199" s="43"/>
      <c r="F199" s="43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42"/>
      <c r="C200" s="43"/>
      <c r="D200" s="43"/>
      <c r="E200" s="43"/>
      <c r="F200" s="43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42"/>
      <c r="C201" s="43"/>
      <c r="D201" s="43"/>
      <c r="E201" s="43"/>
      <c r="F201" s="43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42"/>
      <c r="C202" s="43"/>
      <c r="D202" s="43"/>
      <c r="E202" s="43"/>
      <c r="F202" s="43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42"/>
      <c r="C203" s="43"/>
      <c r="D203" s="43"/>
      <c r="E203" s="43"/>
      <c r="F203" s="43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42"/>
      <c r="C204" s="43"/>
      <c r="D204" s="43"/>
      <c r="E204" s="43"/>
      <c r="F204" s="43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42"/>
      <c r="C205" s="43"/>
      <c r="D205" s="43"/>
      <c r="E205" s="43"/>
      <c r="F205" s="43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42"/>
      <c r="C206" s="43"/>
      <c r="D206" s="43"/>
      <c r="E206" s="43"/>
      <c r="F206" s="43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42"/>
      <c r="C207" s="43"/>
      <c r="D207" s="43"/>
      <c r="E207" s="43"/>
      <c r="F207" s="43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42"/>
      <c r="C208" s="43"/>
      <c r="D208" s="43"/>
      <c r="E208" s="43"/>
      <c r="F208" s="43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42"/>
      <c r="C209" s="43"/>
      <c r="D209" s="43"/>
      <c r="E209" s="43"/>
      <c r="F209" s="43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42"/>
      <c r="C210" s="43"/>
      <c r="D210" s="43"/>
      <c r="E210" s="43"/>
      <c r="F210" s="43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42"/>
      <c r="C211" s="43"/>
      <c r="D211" s="43"/>
      <c r="E211" s="43"/>
      <c r="F211" s="43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42"/>
      <c r="C212" s="43"/>
      <c r="D212" s="43"/>
      <c r="E212" s="43"/>
      <c r="F212" s="43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42"/>
      <c r="C213" s="43"/>
      <c r="D213" s="43"/>
      <c r="E213" s="43"/>
      <c r="F213" s="43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42"/>
      <c r="C214" s="43"/>
      <c r="D214" s="43"/>
      <c r="E214" s="43"/>
      <c r="F214" s="43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42"/>
      <c r="C215" s="43"/>
      <c r="D215" s="43"/>
      <c r="E215" s="43"/>
      <c r="F215" s="43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42"/>
      <c r="C216" s="43"/>
      <c r="D216" s="43"/>
      <c r="E216" s="43"/>
      <c r="F216" s="43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42"/>
      <c r="C217" s="43"/>
      <c r="D217" s="43"/>
      <c r="E217" s="43"/>
      <c r="F217" s="43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42"/>
      <c r="C218" s="43"/>
      <c r="D218" s="43"/>
      <c r="E218" s="43"/>
      <c r="F218" s="43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42"/>
      <c r="C219" s="43"/>
      <c r="D219" s="43"/>
      <c r="E219" s="43"/>
      <c r="F219" s="43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42"/>
      <c r="C220" s="43"/>
      <c r="D220" s="43"/>
      <c r="E220" s="43"/>
      <c r="F220" s="43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42"/>
      <c r="C221" s="43"/>
      <c r="D221" s="43"/>
      <c r="E221" s="43"/>
      <c r="F221" s="43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42"/>
      <c r="C222" s="43"/>
      <c r="D222" s="43"/>
      <c r="E222" s="43"/>
      <c r="F222" s="43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42"/>
      <c r="C223" s="43"/>
      <c r="D223" s="43"/>
      <c r="E223" s="43"/>
      <c r="F223" s="43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42"/>
      <c r="C224" s="43"/>
      <c r="D224" s="43"/>
      <c r="E224" s="43"/>
      <c r="F224" s="43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42"/>
      <c r="C225" s="43"/>
      <c r="D225" s="43"/>
      <c r="E225" s="43"/>
      <c r="F225" s="43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42"/>
      <c r="C226" s="43"/>
      <c r="D226" s="43"/>
      <c r="E226" s="43"/>
      <c r="F226" s="43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42"/>
      <c r="C227" s="43"/>
      <c r="D227" s="43"/>
      <c r="E227" s="43"/>
      <c r="F227" s="43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42"/>
      <c r="C228" s="43"/>
      <c r="D228" s="43"/>
      <c r="E228" s="43"/>
      <c r="F228" s="43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42"/>
      <c r="C229" s="43"/>
      <c r="D229" s="43"/>
      <c r="E229" s="43"/>
      <c r="F229" s="43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42"/>
      <c r="C230" s="43"/>
      <c r="D230" s="43"/>
      <c r="E230" s="43"/>
      <c r="F230" s="43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42"/>
      <c r="C231" s="43"/>
      <c r="D231" s="43"/>
      <c r="E231" s="43"/>
      <c r="F231" s="43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42"/>
      <c r="C232" s="43"/>
      <c r="D232" s="43"/>
      <c r="E232" s="43"/>
      <c r="F232" s="43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42"/>
      <c r="C233" s="43"/>
      <c r="D233" s="43"/>
      <c r="E233" s="43"/>
      <c r="F233" s="43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42"/>
      <c r="C234" s="43"/>
      <c r="D234" s="43"/>
      <c r="E234" s="43"/>
      <c r="F234" s="43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42"/>
      <c r="C235" s="43"/>
      <c r="D235" s="43"/>
      <c r="E235" s="43"/>
      <c r="F235" s="43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42"/>
      <c r="C236" s="43"/>
      <c r="D236" s="43"/>
      <c r="E236" s="43"/>
      <c r="F236" s="43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42"/>
      <c r="C237" s="43"/>
      <c r="D237" s="43"/>
      <c r="E237" s="43"/>
      <c r="F237" s="43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42"/>
      <c r="C238" s="43"/>
      <c r="D238" s="43"/>
      <c r="E238" s="43"/>
      <c r="F238" s="43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42"/>
      <c r="C239" s="43"/>
      <c r="D239" s="43"/>
      <c r="E239" s="43"/>
      <c r="F239" s="43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42"/>
      <c r="C240" s="43"/>
      <c r="D240" s="43"/>
      <c r="E240" s="43"/>
      <c r="F240" s="43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42"/>
      <c r="C241" s="43"/>
      <c r="D241" s="43"/>
      <c r="E241" s="43"/>
      <c r="F241" s="43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42"/>
      <c r="C242" s="43"/>
      <c r="D242" s="43"/>
      <c r="E242" s="43"/>
      <c r="F242" s="43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42"/>
      <c r="C243" s="43"/>
      <c r="D243" s="43"/>
      <c r="E243" s="43"/>
      <c r="F243" s="43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42"/>
      <c r="C244" s="43"/>
      <c r="D244" s="43"/>
      <c r="E244" s="43"/>
      <c r="F244" s="43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42"/>
      <c r="C245" s="43"/>
      <c r="D245" s="43"/>
      <c r="E245" s="43"/>
      <c r="F245" s="43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42"/>
      <c r="C246" s="43"/>
      <c r="D246" s="43"/>
      <c r="E246" s="43"/>
      <c r="F246" s="43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42"/>
      <c r="C247" s="43"/>
      <c r="D247" s="43"/>
      <c r="E247" s="43"/>
      <c r="F247" s="43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42"/>
      <c r="C248" s="43"/>
      <c r="D248" s="43"/>
      <c r="E248" s="43"/>
      <c r="F248" s="43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42"/>
      <c r="C249" s="43"/>
      <c r="D249" s="43"/>
      <c r="E249" s="43"/>
      <c r="F249" s="43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42"/>
      <c r="C250" s="43"/>
      <c r="D250" s="43"/>
      <c r="E250" s="43"/>
      <c r="F250" s="43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42"/>
      <c r="C251" s="43"/>
      <c r="D251" s="43"/>
      <c r="E251" s="43"/>
      <c r="F251" s="43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42"/>
      <c r="C252" s="43"/>
      <c r="D252" s="43"/>
      <c r="E252" s="43"/>
      <c r="F252" s="43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42"/>
      <c r="C253" s="43"/>
      <c r="D253" s="43"/>
      <c r="E253" s="43"/>
      <c r="F253" s="43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42"/>
      <c r="C254" s="43"/>
      <c r="D254" s="43"/>
      <c r="E254" s="43"/>
      <c r="F254" s="43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42"/>
      <c r="C255" s="43"/>
      <c r="D255" s="43"/>
      <c r="E255" s="43"/>
      <c r="F255" s="43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42"/>
      <c r="C256" s="43"/>
      <c r="D256" s="43"/>
      <c r="E256" s="43"/>
      <c r="F256" s="43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42"/>
      <c r="C257" s="43"/>
      <c r="D257" s="43"/>
      <c r="E257" s="43"/>
      <c r="F257" s="43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42"/>
      <c r="C258" s="43"/>
      <c r="D258" s="43"/>
      <c r="E258" s="43"/>
      <c r="F258" s="43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42"/>
      <c r="C259" s="43"/>
      <c r="D259" s="43"/>
      <c r="E259" s="43"/>
      <c r="F259" s="43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42"/>
      <c r="C260" s="43"/>
      <c r="D260" s="43"/>
      <c r="E260" s="43"/>
      <c r="F260" s="43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42"/>
      <c r="C261" s="43"/>
      <c r="D261" s="43"/>
      <c r="E261" s="43"/>
      <c r="F261" s="43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42"/>
      <c r="C262" s="43"/>
      <c r="D262" s="43"/>
      <c r="E262" s="43"/>
      <c r="F262" s="43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42"/>
      <c r="C263" s="43"/>
      <c r="D263" s="43"/>
      <c r="E263" s="43"/>
      <c r="F263" s="43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42"/>
      <c r="C264" s="43"/>
      <c r="D264" s="43"/>
      <c r="E264" s="43"/>
      <c r="F264" s="43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42"/>
      <c r="C265" s="43"/>
      <c r="D265" s="43"/>
      <c r="E265" s="43"/>
      <c r="F265" s="43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42"/>
      <c r="C266" s="43"/>
      <c r="D266" s="43"/>
      <c r="E266" s="43"/>
      <c r="F266" s="43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42"/>
      <c r="C267" s="43"/>
      <c r="D267" s="43"/>
      <c r="E267" s="43"/>
      <c r="F267" s="43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42"/>
      <c r="C268" s="43"/>
      <c r="D268" s="43"/>
      <c r="E268" s="43"/>
      <c r="F268" s="43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42"/>
      <c r="C269" s="43"/>
      <c r="D269" s="43"/>
      <c r="E269" s="43"/>
      <c r="F269" s="43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42"/>
      <c r="C270" s="43"/>
      <c r="D270" s="43"/>
      <c r="E270" s="43"/>
      <c r="F270" s="43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42"/>
      <c r="C271" s="43"/>
      <c r="D271" s="43"/>
      <c r="E271" s="43"/>
      <c r="F271" s="43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42"/>
      <c r="C272" s="43"/>
      <c r="D272" s="43"/>
      <c r="E272" s="43"/>
      <c r="F272" s="43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42"/>
      <c r="C273" s="43"/>
      <c r="D273" s="43"/>
      <c r="E273" s="43"/>
      <c r="F273" s="43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42"/>
      <c r="C274" s="43"/>
      <c r="D274" s="43"/>
      <c r="E274" s="43"/>
      <c r="F274" s="43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42"/>
      <c r="C275" s="43"/>
      <c r="D275" s="43"/>
      <c r="E275" s="43"/>
      <c r="F275" s="43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42"/>
      <c r="C276" s="43"/>
      <c r="D276" s="43"/>
      <c r="E276" s="43"/>
      <c r="F276" s="43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42"/>
      <c r="C277" s="43"/>
      <c r="D277" s="43"/>
      <c r="E277" s="43"/>
      <c r="F277" s="43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42"/>
      <c r="C278" s="43"/>
      <c r="D278" s="43"/>
      <c r="E278" s="43"/>
      <c r="F278" s="43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42"/>
      <c r="C279" s="43"/>
      <c r="D279" s="43"/>
      <c r="E279" s="43"/>
      <c r="F279" s="43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42"/>
      <c r="C280" s="43"/>
      <c r="D280" s="43"/>
      <c r="E280" s="43"/>
      <c r="F280" s="43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42"/>
      <c r="C281" s="43"/>
      <c r="D281" s="43"/>
      <c r="E281" s="43"/>
      <c r="F281" s="43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42"/>
      <c r="C282" s="43"/>
      <c r="D282" s="43"/>
      <c r="E282" s="43"/>
      <c r="F282" s="43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42"/>
      <c r="C283" s="43"/>
      <c r="D283" s="43"/>
      <c r="E283" s="43"/>
      <c r="F283" s="43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42"/>
      <c r="C284" s="43"/>
      <c r="D284" s="43"/>
      <c r="E284" s="43"/>
      <c r="F284" s="43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42"/>
      <c r="C285" s="43"/>
      <c r="D285" s="43"/>
      <c r="E285" s="43"/>
      <c r="F285" s="43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42"/>
      <c r="C286" s="43"/>
      <c r="D286" s="43"/>
      <c r="E286" s="43"/>
      <c r="F286" s="43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42"/>
      <c r="C287" s="43"/>
      <c r="D287" s="43"/>
      <c r="E287" s="43"/>
      <c r="F287" s="43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42"/>
      <c r="C288" s="43"/>
      <c r="D288" s="43"/>
      <c r="E288" s="43"/>
      <c r="F288" s="43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42"/>
      <c r="C289" s="43"/>
      <c r="D289" s="43"/>
      <c r="E289" s="43"/>
      <c r="F289" s="43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42"/>
      <c r="C290" s="43"/>
      <c r="D290" s="43"/>
      <c r="E290" s="43"/>
      <c r="F290" s="43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42"/>
      <c r="C291" s="43"/>
      <c r="D291" s="43"/>
      <c r="E291" s="43"/>
      <c r="F291" s="43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42"/>
      <c r="C292" s="43"/>
      <c r="D292" s="43"/>
      <c r="E292" s="43"/>
      <c r="F292" s="43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42"/>
      <c r="C293" s="43"/>
      <c r="D293" s="43"/>
      <c r="E293" s="43"/>
      <c r="F293" s="43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42"/>
      <c r="C294" s="43"/>
      <c r="D294" s="43"/>
      <c r="E294" s="43"/>
      <c r="F294" s="43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42"/>
      <c r="C295" s="43"/>
      <c r="D295" s="43"/>
      <c r="E295" s="43"/>
      <c r="F295" s="43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42"/>
      <c r="C296" s="43"/>
      <c r="D296" s="43"/>
      <c r="E296" s="43"/>
      <c r="F296" s="43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42"/>
      <c r="C297" s="43"/>
      <c r="D297" s="43"/>
      <c r="E297" s="43"/>
      <c r="F297" s="43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42"/>
      <c r="C298" s="43"/>
      <c r="D298" s="43"/>
      <c r="E298" s="43"/>
      <c r="F298" s="43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42"/>
      <c r="C299" s="43"/>
      <c r="D299" s="43"/>
      <c r="E299" s="43"/>
      <c r="F299" s="43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42"/>
      <c r="C300" s="43"/>
      <c r="D300" s="43"/>
      <c r="E300" s="43"/>
      <c r="F300" s="43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42"/>
      <c r="C301" s="43"/>
      <c r="D301" s="43"/>
      <c r="E301" s="43"/>
      <c r="F301" s="43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42"/>
      <c r="C302" s="43"/>
      <c r="D302" s="43"/>
      <c r="E302" s="43"/>
      <c r="F302" s="43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42"/>
      <c r="C303" s="43"/>
      <c r="D303" s="43"/>
      <c r="E303" s="43"/>
      <c r="F303" s="43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42"/>
      <c r="C304" s="43"/>
      <c r="D304" s="43"/>
      <c r="E304" s="43"/>
      <c r="F304" s="43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42"/>
      <c r="C305" s="43"/>
      <c r="D305" s="43"/>
      <c r="E305" s="43"/>
      <c r="F305" s="43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42"/>
      <c r="C306" s="43"/>
      <c r="D306" s="43"/>
      <c r="E306" s="43"/>
      <c r="F306" s="43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42"/>
      <c r="C307" s="43"/>
      <c r="D307" s="43"/>
      <c r="E307" s="43"/>
      <c r="F307" s="43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42"/>
      <c r="C308" s="43"/>
      <c r="D308" s="43"/>
      <c r="E308" s="43"/>
      <c r="F308" s="43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42"/>
      <c r="C309" s="43"/>
      <c r="D309" s="43"/>
      <c r="E309" s="43"/>
      <c r="F309" s="43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42"/>
      <c r="C310" s="43"/>
      <c r="D310" s="43"/>
      <c r="E310" s="43"/>
      <c r="F310" s="43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42"/>
      <c r="C311" s="43"/>
      <c r="D311" s="43"/>
      <c r="E311" s="43"/>
      <c r="F311" s="43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42"/>
      <c r="C312" s="43"/>
      <c r="D312" s="43"/>
      <c r="E312" s="43"/>
      <c r="F312" s="43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42"/>
      <c r="C313" s="43"/>
      <c r="D313" s="43"/>
      <c r="E313" s="43"/>
      <c r="F313" s="43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42"/>
      <c r="C314" s="43"/>
      <c r="D314" s="43"/>
      <c r="E314" s="43"/>
      <c r="F314" s="43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42"/>
      <c r="C315" s="43"/>
      <c r="D315" s="43"/>
      <c r="E315" s="43"/>
      <c r="F315" s="43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42"/>
      <c r="C316" s="43"/>
      <c r="D316" s="43"/>
      <c r="E316" s="43"/>
      <c r="F316" s="43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42"/>
      <c r="C317" s="43"/>
      <c r="D317" s="43"/>
      <c r="E317" s="43"/>
      <c r="F317" s="43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42"/>
      <c r="C318" s="43"/>
      <c r="D318" s="43"/>
      <c r="E318" s="43"/>
      <c r="F318" s="43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42"/>
      <c r="C319" s="43"/>
      <c r="D319" s="43"/>
      <c r="E319" s="43"/>
      <c r="F319" s="43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42"/>
      <c r="C320" s="43"/>
      <c r="D320" s="43"/>
      <c r="E320" s="43"/>
      <c r="F320" s="43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42"/>
      <c r="C321" s="43"/>
      <c r="D321" s="43"/>
      <c r="E321" s="43"/>
      <c r="F321" s="43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42"/>
      <c r="C322" s="43"/>
      <c r="D322" s="43"/>
      <c r="E322" s="43"/>
      <c r="F322" s="43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42"/>
      <c r="C323" s="43"/>
      <c r="D323" s="43"/>
      <c r="E323" s="43"/>
      <c r="F323" s="43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42"/>
      <c r="C324" s="43"/>
      <c r="D324" s="43"/>
      <c r="E324" s="43"/>
      <c r="F324" s="43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42"/>
      <c r="C325" s="43"/>
      <c r="D325" s="43"/>
      <c r="E325" s="43"/>
      <c r="F325" s="43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42"/>
      <c r="C326" s="43"/>
      <c r="D326" s="43"/>
      <c r="E326" s="43"/>
      <c r="F326" s="43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42"/>
      <c r="C327" s="43"/>
      <c r="D327" s="43"/>
      <c r="E327" s="43"/>
      <c r="F327" s="43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42"/>
      <c r="C328" s="43"/>
      <c r="D328" s="43"/>
      <c r="E328" s="43"/>
      <c r="F328" s="43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42"/>
      <c r="C329" s="43"/>
      <c r="D329" s="43"/>
      <c r="E329" s="43"/>
      <c r="F329" s="43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42"/>
      <c r="C330" s="43"/>
      <c r="D330" s="43"/>
      <c r="E330" s="43"/>
      <c r="F330" s="43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42"/>
      <c r="C331" s="43"/>
      <c r="D331" s="43"/>
      <c r="E331" s="43"/>
      <c r="F331" s="43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42"/>
      <c r="C332" s="43"/>
      <c r="D332" s="43"/>
      <c r="E332" s="43"/>
      <c r="F332" s="43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42"/>
      <c r="C333" s="43"/>
      <c r="D333" s="43"/>
      <c r="E333" s="43"/>
      <c r="F333" s="43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42"/>
      <c r="C334" s="43"/>
      <c r="D334" s="43"/>
      <c r="E334" s="43"/>
      <c r="F334" s="43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42"/>
      <c r="C335" s="43"/>
      <c r="D335" s="43"/>
      <c r="E335" s="43"/>
      <c r="F335" s="43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42"/>
      <c r="C336" s="43"/>
      <c r="D336" s="43"/>
      <c r="E336" s="43"/>
      <c r="F336" s="43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42"/>
      <c r="C337" s="43"/>
      <c r="D337" s="43"/>
      <c r="E337" s="43"/>
      <c r="F337" s="43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42"/>
      <c r="C338" s="43"/>
      <c r="D338" s="43"/>
      <c r="E338" s="43"/>
      <c r="F338" s="43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42"/>
      <c r="C339" s="43"/>
      <c r="D339" s="43"/>
      <c r="E339" s="43"/>
      <c r="F339" s="43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42"/>
      <c r="C340" s="43"/>
      <c r="D340" s="43"/>
      <c r="E340" s="43"/>
      <c r="F340" s="43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42"/>
      <c r="C341" s="43"/>
      <c r="D341" s="43"/>
      <c r="E341" s="43"/>
      <c r="F341" s="43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42"/>
      <c r="C342" s="43"/>
      <c r="D342" s="43"/>
      <c r="E342" s="43"/>
      <c r="F342" s="43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42"/>
      <c r="C343" s="43"/>
      <c r="D343" s="43"/>
      <c r="E343" s="43"/>
      <c r="F343" s="43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42"/>
      <c r="C344" s="43"/>
      <c r="D344" s="43"/>
      <c r="E344" s="43"/>
      <c r="F344" s="43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42"/>
      <c r="C345" s="43"/>
      <c r="D345" s="43"/>
      <c r="E345" s="43"/>
      <c r="F345" s="43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42"/>
      <c r="C346" s="43"/>
      <c r="D346" s="43"/>
      <c r="E346" s="43"/>
      <c r="F346" s="43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42"/>
      <c r="C347" s="43"/>
      <c r="D347" s="43"/>
      <c r="E347" s="43"/>
      <c r="F347" s="43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42"/>
      <c r="C348" s="43"/>
      <c r="D348" s="43"/>
      <c r="E348" s="43"/>
      <c r="F348" s="43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42"/>
      <c r="C349" s="43"/>
      <c r="D349" s="43"/>
      <c r="E349" s="43"/>
      <c r="F349" s="43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42"/>
      <c r="C350" s="43"/>
      <c r="D350" s="43"/>
      <c r="E350" s="43"/>
      <c r="F350" s="43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42"/>
      <c r="C351" s="43"/>
      <c r="D351" s="43"/>
      <c r="E351" s="43"/>
      <c r="F351" s="43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42"/>
      <c r="C352" s="43"/>
      <c r="D352" s="43"/>
      <c r="E352" s="43"/>
      <c r="F352" s="43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42"/>
      <c r="C353" s="43"/>
      <c r="D353" s="43"/>
      <c r="E353" s="43"/>
      <c r="F353" s="43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42"/>
      <c r="C354" s="43"/>
      <c r="D354" s="43"/>
      <c r="E354" s="43"/>
      <c r="F354" s="43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42"/>
      <c r="C355" s="43"/>
      <c r="D355" s="43"/>
      <c r="E355" s="43"/>
      <c r="F355" s="43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42"/>
      <c r="C356" s="43"/>
      <c r="D356" s="43"/>
      <c r="E356" s="43"/>
      <c r="F356" s="43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42"/>
      <c r="C357" s="43"/>
      <c r="D357" s="43"/>
      <c r="E357" s="43"/>
      <c r="F357" s="43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42"/>
      <c r="C358" s="43"/>
      <c r="D358" s="43"/>
      <c r="E358" s="43"/>
      <c r="F358" s="43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42"/>
      <c r="C359" s="43"/>
      <c r="D359" s="43"/>
      <c r="E359" s="43"/>
      <c r="F359" s="43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42"/>
      <c r="C360" s="43"/>
      <c r="D360" s="43"/>
      <c r="E360" s="43"/>
      <c r="F360" s="43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42"/>
      <c r="C361" s="43"/>
      <c r="D361" s="43"/>
      <c r="E361" s="43"/>
      <c r="F361" s="43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42"/>
      <c r="C362" s="43"/>
      <c r="D362" s="43"/>
      <c r="E362" s="43"/>
      <c r="F362" s="43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42"/>
      <c r="C363" s="43"/>
      <c r="D363" s="43"/>
      <c r="E363" s="43"/>
      <c r="F363" s="43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42"/>
      <c r="C364" s="43"/>
      <c r="D364" s="43"/>
      <c r="E364" s="43"/>
      <c r="F364" s="43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42"/>
      <c r="C365" s="43"/>
      <c r="D365" s="43"/>
      <c r="E365" s="43"/>
      <c r="F365" s="43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42"/>
      <c r="C366" s="43"/>
      <c r="D366" s="43"/>
      <c r="E366" s="43"/>
      <c r="F366" s="43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42"/>
      <c r="C367" s="43"/>
      <c r="D367" s="43"/>
      <c r="E367" s="43"/>
      <c r="F367" s="43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42"/>
      <c r="C368" s="43"/>
      <c r="D368" s="43"/>
      <c r="E368" s="43"/>
      <c r="F368" s="43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42"/>
      <c r="C369" s="43"/>
      <c r="D369" s="43"/>
      <c r="E369" s="43"/>
      <c r="F369" s="43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42"/>
      <c r="C370" s="43"/>
      <c r="D370" s="43"/>
      <c r="E370" s="43"/>
      <c r="F370" s="43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42"/>
      <c r="C371" s="43"/>
      <c r="D371" s="43"/>
      <c r="E371" s="43"/>
      <c r="F371" s="43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42"/>
      <c r="C372" s="43"/>
      <c r="D372" s="43"/>
      <c r="E372" s="43"/>
      <c r="F372" s="43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42"/>
      <c r="C373" s="43"/>
      <c r="D373" s="43"/>
      <c r="E373" s="43"/>
      <c r="F373" s="43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42"/>
      <c r="C374" s="43"/>
      <c r="D374" s="43"/>
      <c r="E374" s="43"/>
      <c r="F374" s="43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42"/>
      <c r="C375" s="43"/>
      <c r="D375" s="43"/>
      <c r="E375" s="43"/>
      <c r="F375" s="43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42"/>
      <c r="C376" s="43"/>
      <c r="D376" s="43"/>
      <c r="E376" s="43"/>
      <c r="F376" s="43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42"/>
      <c r="C377" s="43"/>
      <c r="D377" s="43"/>
      <c r="E377" s="43"/>
      <c r="F377" s="43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42"/>
      <c r="C378" s="43"/>
      <c r="D378" s="43"/>
      <c r="E378" s="43"/>
      <c r="F378" s="43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42"/>
      <c r="C379" s="43"/>
      <c r="D379" s="43"/>
      <c r="E379" s="43"/>
      <c r="F379" s="43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42"/>
      <c r="C380" s="43"/>
      <c r="D380" s="43"/>
      <c r="E380" s="43"/>
      <c r="F380" s="43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42"/>
      <c r="C381" s="43"/>
      <c r="D381" s="43"/>
      <c r="E381" s="43"/>
      <c r="F381" s="43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42"/>
      <c r="C382" s="43"/>
      <c r="D382" s="43"/>
      <c r="E382" s="43"/>
      <c r="F382" s="43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42"/>
      <c r="C383" s="43"/>
      <c r="D383" s="43"/>
      <c r="E383" s="43"/>
      <c r="F383" s="43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42"/>
      <c r="C384" s="43"/>
      <c r="D384" s="43"/>
      <c r="E384" s="43"/>
      <c r="F384" s="43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42"/>
      <c r="C385" s="43"/>
      <c r="D385" s="43"/>
      <c r="E385" s="43"/>
      <c r="F385" s="43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42"/>
      <c r="C386" s="43"/>
      <c r="D386" s="43"/>
      <c r="E386" s="43"/>
      <c r="F386" s="43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42"/>
      <c r="C387" s="43"/>
      <c r="D387" s="43"/>
      <c r="E387" s="43"/>
      <c r="F387" s="43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42"/>
      <c r="C388" s="43"/>
      <c r="D388" s="43"/>
      <c r="E388" s="43"/>
      <c r="F388" s="43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42"/>
      <c r="C389" s="43"/>
      <c r="D389" s="43"/>
      <c r="E389" s="43"/>
      <c r="F389" s="43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42"/>
      <c r="C390" s="43"/>
      <c r="D390" s="43"/>
      <c r="E390" s="43"/>
      <c r="F390" s="43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42"/>
      <c r="C391" s="43"/>
      <c r="D391" s="43"/>
      <c r="E391" s="43"/>
      <c r="F391" s="43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42"/>
      <c r="C392" s="43"/>
      <c r="D392" s="43"/>
      <c r="E392" s="43"/>
      <c r="F392" s="43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42"/>
      <c r="C393" s="43"/>
      <c r="D393" s="43"/>
      <c r="E393" s="43"/>
      <c r="F393" s="43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42"/>
      <c r="C394" s="43"/>
      <c r="D394" s="43"/>
      <c r="E394" s="43"/>
      <c r="F394" s="43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42"/>
      <c r="C395" s="43"/>
      <c r="D395" s="43"/>
      <c r="E395" s="43"/>
      <c r="F395" s="43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42"/>
      <c r="C396" s="43"/>
      <c r="D396" s="43"/>
      <c r="E396" s="43"/>
      <c r="F396" s="43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42"/>
      <c r="C397" s="43"/>
      <c r="D397" s="43"/>
      <c r="E397" s="43"/>
      <c r="F397" s="43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42"/>
      <c r="C398" s="43"/>
      <c r="D398" s="43"/>
      <c r="E398" s="43"/>
      <c r="F398" s="43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42"/>
      <c r="C399" s="43"/>
      <c r="D399" s="43"/>
      <c r="E399" s="43"/>
      <c r="F399" s="43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42"/>
      <c r="C400" s="43"/>
      <c r="D400" s="43"/>
      <c r="E400" s="43"/>
      <c r="F400" s="43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42"/>
      <c r="C401" s="43"/>
      <c r="D401" s="43"/>
      <c r="E401" s="43"/>
      <c r="F401" s="43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42"/>
      <c r="C402" s="43"/>
      <c r="D402" s="43"/>
      <c r="E402" s="43"/>
      <c r="F402" s="43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42"/>
      <c r="C403" s="43"/>
      <c r="D403" s="43"/>
      <c r="E403" s="43"/>
      <c r="F403" s="43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42"/>
      <c r="C404" s="43"/>
      <c r="D404" s="43"/>
      <c r="E404" s="43"/>
      <c r="F404" s="43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42"/>
      <c r="C405" s="43"/>
      <c r="D405" s="43"/>
      <c r="E405" s="43"/>
      <c r="F405" s="43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42"/>
      <c r="C406" s="43"/>
      <c r="D406" s="43"/>
      <c r="E406" s="43"/>
      <c r="F406" s="43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42"/>
      <c r="C407" s="43"/>
      <c r="D407" s="43"/>
      <c r="E407" s="43"/>
      <c r="F407" s="43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42"/>
      <c r="C408" s="43"/>
      <c r="D408" s="43"/>
      <c r="E408" s="43"/>
      <c r="F408" s="43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42"/>
      <c r="C409" s="43"/>
      <c r="D409" s="43"/>
      <c r="E409" s="43"/>
      <c r="F409" s="43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42"/>
      <c r="C410" s="43"/>
      <c r="D410" s="43"/>
      <c r="E410" s="43"/>
      <c r="F410" s="43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42"/>
      <c r="C411" s="43"/>
      <c r="D411" s="43"/>
      <c r="E411" s="43"/>
      <c r="F411" s="43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42"/>
      <c r="C412" s="43"/>
      <c r="D412" s="43"/>
      <c r="E412" s="43"/>
      <c r="F412" s="43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42"/>
      <c r="C413" s="43"/>
      <c r="D413" s="43"/>
      <c r="E413" s="43"/>
      <c r="F413" s="43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42"/>
      <c r="C414" s="43"/>
      <c r="D414" s="43"/>
      <c r="E414" s="43"/>
      <c r="F414" s="43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42"/>
      <c r="C415" s="43"/>
      <c r="D415" s="43"/>
      <c r="E415" s="43"/>
      <c r="F415" s="43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42"/>
      <c r="C416" s="43"/>
      <c r="D416" s="43"/>
      <c r="E416" s="43"/>
      <c r="F416" s="43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42"/>
      <c r="C417" s="43"/>
      <c r="D417" s="43"/>
      <c r="E417" s="43"/>
      <c r="F417" s="43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42"/>
      <c r="C418" s="43"/>
      <c r="D418" s="43"/>
      <c r="E418" s="43"/>
      <c r="F418" s="43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42"/>
      <c r="C419" s="43"/>
      <c r="D419" s="43"/>
      <c r="E419" s="43"/>
      <c r="F419" s="43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42"/>
      <c r="C420" s="43"/>
      <c r="D420" s="43"/>
      <c r="E420" s="43"/>
      <c r="F420" s="43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42"/>
      <c r="C421" s="43"/>
      <c r="D421" s="43"/>
      <c r="E421" s="43"/>
      <c r="F421" s="43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42"/>
      <c r="C422" s="43"/>
      <c r="D422" s="43"/>
      <c r="E422" s="43"/>
      <c r="F422" s="43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42"/>
      <c r="C423" s="43"/>
      <c r="D423" s="43"/>
      <c r="E423" s="43"/>
      <c r="F423" s="43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42"/>
      <c r="C424" s="43"/>
      <c r="D424" s="43"/>
      <c r="E424" s="43"/>
      <c r="F424" s="43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42"/>
      <c r="C425" s="43"/>
      <c r="D425" s="43"/>
      <c r="E425" s="43"/>
      <c r="F425" s="43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42"/>
      <c r="C426" s="43"/>
      <c r="D426" s="43"/>
      <c r="E426" s="43"/>
      <c r="F426" s="43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42"/>
      <c r="C427" s="43"/>
      <c r="D427" s="43"/>
      <c r="E427" s="43"/>
      <c r="F427" s="43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42"/>
      <c r="C428" s="43"/>
      <c r="D428" s="43"/>
      <c r="E428" s="43"/>
      <c r="F428" s="43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42"/>
      <c r="C429" s="43"/>
      <c r="D429" s="43"/>
      <c r="E429" s="43"/>
      <c r="F429" s="43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42"/>
      <c r="C430" s="43"/>
      <c r="D430" s="43"/>
      <c r="E430" s="43"/>
      <c r="F430" s="43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42"/>
      <c r="C431" s="43"/>
      <c r="D431" s="43"/>
      <c r="E431" s="43"/>
      <c r="F431" s="43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42"/>
      <c r="C432" s="43"/>
      <c r="D432" s="43"/>
      <c r="E432" s="43"/>
      <c r="F432" s="43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42"/>
      <c r="C433" s="43"/>
      <c r="D433" s="43"/>
      <c r="E433" s="43"/>
      <c r="F433" s="43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42"/>
      <c r="C434" s="43"/>
      <c r="D434" s="43"/>
      <c r="E434" s="43"/>
      <c r="F434" s="43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42"/>
      <c r="C435" s="43"/>
      <c r="D435" s="43"/>
      <c r="E435" s="43"/>
      <c r="F435" s="43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42"/>
      <c r="C436" s="43"/>
      <c r="D436" s="43"/>
      <c r="E436" s="43"/>
      <c r="F436" s="43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42"/>
      <c r="C437" s="43"/>
      <c r="D437" s="43"/>
      <c r="E437" s="43"/>
      <c r="F437" s="43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42"/>
      <c r="C438" s="43"/>
      <c r="D438" s="43"/>
      <c r="E438" s="43"/>
      <c r="F438" s="43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42"/>
      <c r="C439" s="43"/>
      <c r="D439" s="43"/>
      <c r="E439" s="43"/>
      <c r="F439" s="43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42"/>
      <c r="C440" s="43"/>
      <c r="D440" s="43"/>
      <c r="E440" s="43"/>
      <c r="F440" s="43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42"/>
      <c r="C441" s="43"/>
      <c r="D441" s="43"/>
      <c r="E441" s="43"/>
      <c r="F441" s="43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42"/>
      <c r="C442" s="43"/>
      <c r="D442" s="43"/>
      <c r="E442" s="43"/>
      <c r="F442" s="43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42"/>
      <c r="C443" s="43"/>
      <c r="D443" s="43"/>
      <c r="E443" s="43"/>
      <c r="F443" s="43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42"/>
      <c r="C444" s="43"/>
      <c r="D444" s="43"/>
      <c r="E444" s="43"/>
      <c r="F444" s="43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42"/>
      <c r="C445" s="43"/>
      <c r="D445" s="43"/>
      <c r="E445" s="43"/>
      <c r="F445" s="43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42"/>
      <c r="C446" s="43"/>
      <c r="D446" s="43"/>
      <c r="E446" s="43"/>
      <c r="F446" s="43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42"/>
      <c r="C447" s="43"/>
      <c r="D447" s="43"/>
      <c r="E447" s="43"/>
      <c r="F447" s="43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42"/>
      <c r="C448" s="43"/>
      <c r="D448" s="43"/>
      <c r="E448" s="43"/>
      <c r="F448" s="43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42"/>
      <c r="C449" s="43"/>
      <c r="D449" s="43"/>
      <c r="E449" s="43"/>
      <c r="F449" s="43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42"/>
      <c r="C450" s="43"/>
      <c r="D450" s="43"/>
      <c r="E450" s="43"/>
      <c r="F450" s="43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42"/>
      <c r="C451" s="43"/>
      <c r="D451" s="43"/>
      <c r="E451" s="43"/>
      <c r="F451" s="43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42"/>
      <c r="C452" s="43"/>
      <c r="D452" s="43"/>
      <c r="E452" s="43"/>
      <c r="F452" s="43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42"/>
      <c r="C453" s="43"/>
      <c r="D453" s="43"/>
      <c r="E453" s="43"/>
      <c r="F453" s="43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42"/>
      <c r="C454" s="43"/>
      <c r="D454" s="43"/>
      <c r="E454" s="43"/>
      <c r="F454" s="43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42"/>
      <c r="C455" s="43"/>
      <c r="D455" s="43"/>
      <c r="E455" s="43"/>
      <c r="F455" s="43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42"/>
      <c r="C456" s="43"/>
      <c r="D456" s="43"/>
      <c r="E456" s="43"/>
      <c r="F456" s="43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42"/>
      <c r="C457" s="43"/>
      <c r="D457" s="43"/>
      <c r="E457" s="43"/>
      <c r="F457" s="43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42"/>
      <c r="C458" s="43"/>
      <c r="D458" s="43"/>
      <c r="E458" s="43"/>
      <c r="F458" s="43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42"/>
      <c r="C459" s="43"/>
      <c r="D459" s="43"/>
      <c r="E459" s="43"/>
      <c r="F459" s="43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42"/>
      <c r="C460" s="43"/>
      <c r="D460" s="43"/>
      <c r="E460" s="43"/>
      <c r="F460" s="43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42"/>
      <c r="C461" s="43"/>
      <c r="D461" s="43"/>
      <c r="E461" s="43"/>
      <c r="F461" s="43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42"/>
      <c r="C462" s="43"/>
      <c r="D462" s="43"/>
      <c r="E462" s="43"/>
      <c r="F462" s="43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42"/>
      <c r="C463" s="43"/>
      <c r="D463" s="43"/>
      <c r="E463" s="43"/>
      <c r="F463" s="43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42"/>
      <c r="C464" s="43"/>
      <c r="D464" s="43"/>
      <c r="E464" s="43"/>
      <c r="F464" s="43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42"/>
      <c r="C465" s="43"/>
      <c r="D465" s="43"/>
      <c r="E465" s="43"/>
      <c r="F465" s="43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42"/>
      <c r="C466" s="43"/>
      <c r="D466" s="43"/>
      <c r="E466" s="43"/>
      <c r="F466" s="43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42"/>
      <c r="C467" s="43"/>
      <c r="D467" s="43"/>
      <c r="E467" s="43"/>
      <c r="F467" s="43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42"/>
      <c r="C468" s="43"/>
      <c r="D468" s="43"/>
      <c r="E468" s="43"/>
      <c r="F468" s="43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42"/>
      <c r="C469" s="43"/>
      <c r="D469" s="43"/>
      <c r="E469" s="43"/>
      <c r="F469" s="43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42"/>
      <c r="C470" s="43"/>
      <c r="D470" s="43"/>
      <c r="E470" s="43"/>
      <c r="F470" s="43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42"/>
      <c r="C471" s="43"/>
      <c r="D471" s="43"/>
      <c r="E471" s="43"/>
      <c r="F471" s="43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42"/>
      <c r="C472" s="43"/>
      <c r="D472" s="43"/>
      <c r="E472" s="43"/>
      <c r="F472" s="43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42"/>
      <c r="C473" s="43"/>
      <c r="D473" s="43"/>
      <c r="E473" s="43"/>
      <c r="F473" s="43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42"/>
      <c r="C474" s="43"/>
      <c r="D474" s="43"/>
      <c r="E474" s="43"/>
      <c r="F474" s="43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42"/>
      <c r="C475" s="43"/>
      <c r="D475" s="43"/>
      <c r="E475" s="43"/>
      <c r="F475" s="43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42"/>
      <c r="C476" s="43"/>
      <c r="D476" s="43"/>
      <c r="E476" s="43"/>
      <c r="F476" s="43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42"/>
      <c r="C477" s="43"/>
      <c r="D477" s="43"/>
      <c r="E477" s="43"/>
      <c r="F477" s="43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42"/>
      <c r="C478" s="43"/>
      <c r="D478" s="43"/>
      <c r="E478" s="43"/>
      <c r="F478" s="43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42"/>
      <c r="C479" s="43"/>
      <c r="D479" s="43"/>
      <c r="E479" s="43"/>
      <c r="F479" s="43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42"/>
      <c r="C480" s="43"/>
      <c r="D480" s="43"/>
      <c r="E480" s="43"/>
      <c r="F480" s="43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42"/>
      <c r="C481" s="43"/>
      <c r="D481" s="43"/>
      <c r="E481" s="43"/>
      <c r="F481" s="43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42"/>
      <c r="C482" s="43"/>
      <c r="D482" s="43"/>
      <c r="E482" s="43"/>
      <c r="F482" s="43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42"/>
      <c r="C483" s="43"/>
      <c r="D483" s="43"/>
      <c r="E483" s="43"/>
      <c r="F483" s="43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42"/>
      <c r="C484" s="43"/>
      <c r="D484" s="43"/>
      <c r="E484" s="43"/>
      <c r="F484" s="43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42"/>
      <c r="C485" s="43"/>
      <c r="D485" s="43"/>
      <c r="E485" s="43"/>
      <c r="F485" s="43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42"/>
      <c r="C486" s="43"/>
      <c r="D486" s="43"/>
      <c r="E486" s="43"/>
      <c r="F486" s="43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42"/>
      <c r="C487" s="43"/>
      <c r="D487" s="43"/>
      <c r="E487" s="43"/>
      <c r="F487" s="43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42"/>
      <c r="C488" s="43"/>
      <c r="D488" s="43"/>
      <c r="E488" s="43"/>
      <c r="F488" s="43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42"/>
      <c r="C489" s="43"/>
      <c r="D489" s="43"/>
      <c r="E489" s="43"/>
      <c r="F489" s="43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42"/>
      <c r="C490" s="43"/>
      <c r="D490" s="43"/>
      <c r="E490" s="43"/>
      <c r="F490" s="43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42"/>
      <c r="C491" s="43"/>
      <c r="D491" s="43"/>
      <c r="E491" s="43"/>
      <c r="F491" s="43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42"/>
      <c r="C492" s="43"/>
      <c r="D492" s="43"/>
      <c r="E492" s="43"/>
      <c r="F492" s="43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42"/>
      <c r="C493" s="43"/>
      <c r="D493" s="43"/>
      <c r="E493" s="43"/>
      <c r="F493" s="43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42"/>
      <c r="C494" s="43"/>
      <c r="D494" s="43"/>
      <c r="E494" s="43"/>
      <c r="F494" s="43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42"/>
      <c r="C495" s="43"/>
      <c r="D495" s="43"/>
      <c r="E495" s="43"/>
      <c r="F495" s="43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42"/>
      <c r="C496" s="43"/>
      <c r="D496" s="43"/>
      <c r="E496" s="43"/>
      <c r="F496" s="43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42"/>
      <c r="C497" s="43"/>
      <c r="D497" s="43"/>
      <c r="E497" s="43"/>
      <c r="F497" s="43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42"/>
      <c r="C498" s="43"/>
      <c r="D498" s="43"/>
      <c r="E498" s="43"/>
      <c r="F498" s="43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42"/>
      <c r="C499" s="43"/>
      <c r="D499" s="43"/>
      <c r="E499" s="43"/>
      <c r="F499" s="43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42"/>
      <c r="C500" s="43"/>
      <c r="D500" s="43"/>
      <c r="E500" s="43"/>
      <c r="F500" s="43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42"/>
      <c r="C501" s="43"/>
      <c r="D501" s="43"/>
      <c r="E501" s="43"/>
      <c r="F501" s="43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42"/>
      <c r="C502" s="43"/>
      <c r="D502" s="43"/>
      <c r="E502" s="43"/>
      <c r="F502" s="43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42"/>
      <c r="C503" s="43"/>
      <c r="D503" s="43"/>
      <c r="E503" s="43"/>
      <c r="F503" s="43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42"/>
      <c r="C504" s="43"/>
      <c r="D504" s="43"/>
      <c r="E504" s="43"/>
      <c r="F504" s="43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42"/>
      <c r="C505" s="43"/>
      <c r="D505" s="43"/>
      <c r="E505" s="43"/>
      <c r="F505" s="43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42"/>
      <c r="C506" s="43"/>
      <c r="D506" s="43"/>
      <c r="E506" s="43"/>
      <c r="F506" s="43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42"/>
      <c r="C507" s="43"/>
      <c r="D507" s="43"/>
      <c r="E507" s="43"/>
      <c r="F507" s="43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42"/>
      <c r="C508" s="43"/>
      <c r="D508" s="43"/>
      <c r="E508" s="43"/>
      <c r="F508" s="43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42"/>
      <c r="C509" s="43"/>
      <c r="D509" s="43"/>
      <c r="E509" s="43"/>
      <c r="F509" s="43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42"/>
      <c r="C510" s="43"/>
      <c r="D510" s="43"/>
      <c r="E510" s="43"/>
      <c r="F510" s="43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42"/>
      <c r="C511" s="43"/>
      <c r="D511" s="43"/>
      <c r="E511" s="43"/>
      <c r="F511" s="43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42"/>
      <c r="C512" s="43"/>
      <c r="D512" s="43"/>
      <c r="E512" s="43"/>
      <c r="F512" s="43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42"/>
      <c r="C513" s="43"/>
      <c r="D513" s="43"/>
      <c r="E513" s="43"/>
      <c r="F513" s="43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42"/>
      <c r="C514" s="43"/>
      <c r="D514" s="43"/>
      <c r="E514" s="43"/>
      <c r="F514" s="43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42"/>
      <c r="C515" s="43"/>
      <c r="D515" s="43"/>
      <c r="E515" s="43"/>
      <c r="F515" s="43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42"/>
      <c r="C516" s="43"/>
      <c r="D516" s="43"/>
      <c r="E516" s="43"/>
      <c r="F516" s="43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42"/>
      <c r="C517" s="43"/>
      <c r="D517" s="43"/>
      <c r="E517" s="43"/>
      <c r="F517" s="43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42"/>
      <c r="C518" s="43"/>
      <c r="D518" s="43"/>
      <c r="E518" s="43"/>
      <c r="F518" s="43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42"/>
      <c r="C519" s="43"/>
      <c r="D519" s="43"/>
      <c r="E519" s="43"/>
      <c r="F519" s="43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42"/>
      <c r="C520" s="43"/>
      <c r="D520" s="43"/>
      <c r="E520" s="43"/>
      <c r="F520" s="43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42"/>
      <c r="C521" s="43"/>
      <c r="D521" s="43"/>
      <c r="E521" s="43"/>
      <c r="F521" s="43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42"/>
      <c r="C522" s="43"/>
      <c r="D522" s="43"/>
      <c r="E522" s="43"/>
      <c r="F522" s="43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42"/>
      <c r="C523" s="43"/>
      <c r="D523" s="43"/>
      <c r="E523" s="43"/>
      <c r="F523" s="43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42"/>
      <c r="C524" s="43"/>
      <c r="D524" s="43"/>
      <c r="E524" s="43"/>
      <c r="F524" s="43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42"/>
      <c r="C525" s="43"/>
      <c r="D525" s="43"/>
      <c r="E525" s="43"/>
      <c r="F525" s="43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42"/>
      <c r="C526" s="43"/>
      <c r="D526" s="43"/>
      <c r="E526" s="43"/>
      <c r="F526" s="43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42"/>
      <c r="C527" s="43"/>
      <c r="D527" s="43"/>
      <c r="E527" s="43"/>
      <c r="F527" s="43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42"/>
      <c r="C528" s="43"/>
      <c r="D528" s="43"/>
      <c r="E528" s="43"/>
      <c r="F528" s="43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42"/>
      <c r="C529" s="43"/>
      <c r="D529" s="43"/>
      <c r="E529" s="43"/>
      <c r="F529" s="43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42"/>
      <c r="C530" s="43"/>
      <c r="D530" s="43"/>
      <c r="E530" s="43"/>
      <c r="F530" s="43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42"/>
      <c r="C531" s="43"/>
      <c r="D531" s="43"/>
      <c r="E531" s="43"/>
      <c r="F531" s="43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42"/>
      <c r="C532" s="43"/>
      <c r="D532" s="43"/>
      <c r="E532" s="43"/>
      <c r="F532" s="43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42"/>
      <c r="C533" s="43"/>
      <c r="D533" s="43"/>
      <c r="E533" s="43"/>
      <c r="F533" s="43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42"/>
      <c r="C534" s="43"/>
      <c r="D534" s="43"/>
      <c r="E534" s="43"/>
      <c r="F534" s="43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42"/>
      <c r="C535" s="43"/>
      <c r="D535" s="43"/>
      <c r="E535" s="43"/>
      <c r="F535" s="43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42"/>
      <c r="C536" s="43"/>
      <c r="D536" s="43"/>
      <c r="E536" s="43"/>
      <c r="F536" s="43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42"/>
      <c r="C537" s="43"/>
      <c r="D537" s="43"/>
      <c r="E537" s="43"/>
      <c r="F537" s="43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42"/>
      <c r="C538" s="43"/>
      <c r="D538" s="43"/>
      <c r="E538" s="43"/>
      <c r="F538" s="43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42"/>
      <c r="C539" s="43"/>
      <c r="D539" s="43"/>
      <c r="E539" s="43"/>
      <c r="F539" s="43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42"/>
      <c r="C540" s="43"/>
      <c r="D540" s="43"/>
      <c r="E540" s="43"/>
      <c r="F540" s="43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42"/>
      <c r="C541" s="43"/>
      <c r="D541" s="43"/>
      <c r="E541" s="43"/>
      <c r="F541" s="43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42"/>
      <c r="C542" s="43"/>
      <c r="D542" s="43"/>
      <c r="E542" s="43"/>
      <c r="F542" s="43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42"/>
      <c r="C543" s="43"/>
      <c r="D543" s="43"/>
      <c r="E543" s="43"/>
      <c r="F543" s="43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42"/>
      <c r="C544" s="43"/>
      <c r="D544" s="43"/>
      <c r="E544" s="43"/>
      <c r="F544" s="43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42"/>
      <c r="C545" s="43"/>
      <c r="D545" s="43"/>
      <c r="E545" s="43"/>
      <c r="F545" s="43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42"/>
      <c r="C546" s="43"/>
      <c r="D546" s="43"/>
      <c r="E546" s="43"/>
      <c r="F546" s="43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42"/>
      <c r="C547" s="43"/>
      <c r="D547" s="43"/>
      <c r="E547" s="43"/>
      <c r="F547" s="43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42"/>
      <c r="C548" s="43"/>
      <c r="D548" s="43"/>
      <c r="E548" s="43"/>
      <c r="F548" s="43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42"/>
      <c r="C549" s="43"/>
      <c r="D549" s="43"/>
      <c r="E549" s="43"/>
      <c r="F549" s="43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42"/>
      <c r="C550" s="43"/>
      <c r="D550" s="43"/>
      <c r="E550" s="43"/>
      <c r="F550" s="43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42"/>
      <c r="C551" s="43"/>
      <c r="D551" s="43"/>
      <c r="E551" s="43"/>
      <c r="F551" s="43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42"/>
      <c r="C552" s="43"/>
      <c r="D552" s="43"/>
      <c r="E552" s="43"/>
      <c r="F552" s="43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42"/>
      <c r="C553" s="43"/>
      <c r="D553" s="43"/>
      <c r="E553" s="43"/>
      <c r="F553" s="43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42"/>
      <c r="C554" s="43"/>
      <c r="D554" s="43"/>
      <c r="E554" s="43"/>
      <c r="F554" s="43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42"/>
      <c r="C555" s="43"/>
      <c r="D555" s="43"/>
      <c r="E555" s="43"/>
      <c r="F555" s="43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42"/>
      <c r="C556" s="43"/>
      <c r="D556" s="43"/>
      <c r="E556" s="43"/>
      <c r="F556" s="43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42"/>
      <c r="C557" s="43"/>
      <c r="D557" s="43"/>
      <c r="E557" s="43"/>
      <c r="F557" s="43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42"/>
      <c r="C558" s="43"/>
      <c r="D558" s="43"/>
      <c r="E558" s="43"/>
      <c r="F558" s="43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42"/>
      <c r="C559" s="43"/>
      <c r="D559" s="43"/>
      <c r="E559" s="43"/>
      <c r="F559" s="43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42"/>
      <c r="C560" s="43"/>
      <c r="D560" s="43"/>
      <c r="E560" s="43"/>
      <c r="F560" s="43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42"/>
      <c r="C561" s="43"/>
      <c r="D561" s="43"/>
      <c r="E561" s="43"/>
      <c r="F561" s="43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42"/>
      <c r="C562" s="43"/>
      <c r="D562" s="43"/>
      <c r="E562" s="43"/>
      <c r="F562" s="43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42"/>
      <c r="C563" s="43"/>
      <c r="D563" s="43"/>
      <c r="E563" s="43"/>
      <c r="F563" s="43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42"/>
      <c r="C564" s="43"/>
      <c r="D564" s="43"/>
      <c r="E564" s="43"/>
      <c r="F564" s="43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42"/>
      <c r="C565" s="43"/>
      <c r="D565" s="43"/>
      <c r="E565" s="43"/>
      <c r="F565" s="43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42"/>
      <c r="C566" s="43"/>
      <c r="D566" s="43"/>
      <c r="E566" s="43"/>
      <c r="F566" s="43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42"/>
      <c r="C567" s="43"/>
      <c r="D567" s="43"/>
      <c r="E567" s="43"/>
      <c r="F567" s="43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42"/>
      <c r="C568" s="43"/>
      <c r="D568" s="43"/>
      <c r="E568" s="43"/>
      <c r="F568" s="43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42"/>
      <c r="C569" s="43"/>
      <c r="D569" s="43"/>
      <c r="E569" s="43"/>
      <c r="F569" s="43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42"/>
      <c r="C570" s="43"/>
      <c r="D570" s="43"/>
      <c r="E570" s="43"/>
      <c r="F570" s="43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42"/>
      <c r="C571" s="43"/>
      <c r="D571" s="43"/>
      <c r="E571" s="43"/>
      <c r="F571" s="43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42"/>
      <c r="C572" s="43"/>
      <c r="D572" s="43"/>
      <c r="E572" s="43"/>
      <c r="F572" s="43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42"/>
      <c r="C573" s="43"/>
      <c r="D573" s="43"/>
      <c r="E573" s="43"/>
      <c r="F573" s="43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42"/>
      <c r="C574" s="43"/>
      <c r="D574" s="43"/>
      <c r="E574" s="43"/>
      <c r="F574" s="43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42"/>
      <c r="C575" s="43"/>
      <c r="D575" s="43"/>
      <c r="E575" s="43"/>
      <c r="F575" s="43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42"/>
      <c r="C576" s="43"/>
      <c r="D576" s="43"/>
      <c r="E576" s="43"/>
      <c r="F576" s="43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42"/>
      <c r="C577" s="43"/>
      <c r="D577" s="43"/>
      <c r="E577" s="43"/>
      <c r="F577" s="43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42"/>
      <c r="C578" s="43"/>
      <c r="D578" s="43"/>
      <c r="E578" s="43"/>
      <c r="F578" s="43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42"/>
      <c r="C579" s="43"/>
      <c r="D579" s="43"/>
      <c r="E579" s="43"/>
      <c r="F579" s="43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42"/>
      <c r="C580" s="43"/>
      <c r="D580" s="43"/>
      <c r="E580" s="43"/>
      <c r="F580" s="43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42"/>
      <c r="C581" s="43"/>
      <c r="D581" s="43"/>
      <c r="E581" s="43"/>
      <c r="F581" s="43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42"/>
      <c r="C582" s="43"/>
      <c r="D582" s="43"/>
      <c r="E582" s="43"/>
      <c r="F582" s="43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42"/>
      <c r="C583" s="43"/>
      <c r="D583" s="43"/>
      <c r="E583" s="43"/>
      <c r="F583" s="43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42"/>
      <c r="C584" s="43"/>
      <c r="D584" s="43"/>
      <c r="E584" s="43"/>
      <c r="F584" s="43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42"/>
      <c r="C585" s="43"/>
      <c r="D585" s="43"/>
      <c r="E585" s="43"/>
      <c r="F585" s="43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42"/>
      <c r="C586" s="43"/>
      <c r="D586" s="43"/>
      <c r="E586" s="43"/>
      <c r="F586" s="43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42"/>
      <c r="C587" s="43"/>
      <c r="D587" s="43"/>
      <c r="E587" s="43"/>
      <c r="F587" s="43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42"/>
      <c r="C588" s="43"/>
      <c r="D588" s="43"/>
      <c r="E588" s="43"/>
      <c r="F588" s="43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42"/>
      <c r="C589" s="43"/>
      <c r="D589" s="43"/>
      <c r="E589" s="43"/>
      <c r="F589" s="43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42"/>
      <c r="C590" s="43"/>
      <c r="D590" s="43"/>
      <c r="E590" s="43"/>
      <c r="F590" s="43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42"/>
      <c r="C591" s="43"/>
      <c r="D591" s="43"/>
      <c r="E591" s="43"/>
      <c r="F591" s="43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42"/>
      <c r="C592" s="43"/>
      <c r="D592" s="43"/>
      <c r="E592" s="43"/>
      <c r="F592" s="43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42"/>
      <c r="C593" s="43"/>
      <c r="D593" s="43"/>
      <c r="E593" s="43"/>
      <c r="F593" s="43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42"/>
      <c r="C594" s="43"/>
      <c r="D594" s="43"/>
      <c r="E594" s="43"/>
      <c r="F594" s="43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42"/>
      <c r="C595" s="43"/>
      <c r="D595" s="43"/>
      <c r="E595" s="43"/>
      <c r="F595" s="43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42"/>
      <c r="C596" s="43"/>
      <c r="D596" s="43"/>
      <c r="E596" s="43"/>
      <c r="F596" s="43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42"/>
      <c r="C597" s="43"/>
      <c r="D597" s="43"/>
      <c r="E597" s="43"/>
      <c r="F597" s="43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42"/>
      <c r="C598" s="43"/>
      <c r="D598" s="43"/>
      <c r="E598" s="43"/>
      <c r="F598" s="43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42"/>
      <c r="C599" s="43"/>
      <c r="D599" s="43"/>
      <c r="E599" s="43"/>
      <c r="F599" s="43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42"/>
      <c r="C600" s="43"/>
      <c r="D600" s="43"/>
      <c r="E600" s="43"/>
      <c r="F600" s="43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42"/>
      <c r="C601" s="43"/>
      <c r="D601" s="43"/>
      <c r="E601" s="43"/>
      <c r="F601" s="43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42"/>
      <c r="C602" s="43"/>
      <c r="D602" s="43"/>
      <c r="E602" s="43"/>
      <c r="F602" s="43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42"/>
      <c r="C603" s="43"/>
      <c r="D603" s="43"/>
      <c r="E603" s="43"/>
      <c r="F603" s="43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42"/>
      <c r="C604" s="43"/>
      <c r="D604" s="43"/>
      <c r="E604" s="43"/>
      <c r="F604" s="43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42"/>
      <c r="C605" s="43"/>
      <c r="D605" s="43"/>
      <c r="E605" s="43"/>
      <c r="F605" s="43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42"/>
      <c r="C606" s="43"/>
      <c r="D606" s="43"/>
      <c r="E606" s="43"/>
      <c r="F606" s="43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42"/>
      <c r="C607" s="43"/>
      <c r="D607" s="43"/>
      <c r="E607" s="43"/>
      <c r="F607" s="43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42"/>
      <c r="C608" s="43"/>
      <c r="D608" s="43"/>
      <c r="E608" s="43"/>
      <c r="F608" s="43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42"/>
      <c r="C609" s="43"/>
      <c r="D609" s="43"/>
      <c r="E609" s="43"/>
      <c r="F609" s="43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42"/>
      <c r="C610" s="43"/>
      <c r="D610" s="43"/>
      <c r="E610" s="43"/>
      <c r="F610" s="43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42"/>
      <c r="C611" s="43"/>
      <c r="D611" s="43"/>
      <c r="E611" s="43"/>
      <c r="F611" s="43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42"/>
      <c r="C612" s="43"/>
      <c r="D612" s="43"/>
      <c r="E612" s="43"/>
      <c r="F612" s="43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42"/>
      <c r="C613" s="43"/>
      <c r="D613" s="43"/>
      <c r="E613" s="43"/>
      <c r="F613" s="43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42"/>
      <c r="C614" s="43"/>
      <c r="D614" s="43"/>
      <c r="E614" s="43"/>
      <c r="F614" s="43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42"/>
      <c r="C615" s="43"/>
      <c r="D615" s="43"/>
      <c r="E615" s="43"/>
      <c r="F615" s="43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42"/>
      <c r="C616" s="43"/>
      <c r="D616" s="43"/>
      <c r="E616" s="43"/>
      <c r="F616" s="43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42"/>
      <c r="C617" s="43"/>
      <c r="D617" s="43"/>
      <c r="E617" s="43"/>
      <c r="F617" s="43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42"/>
      <c r="C618" s="43"/>
      <c r="D618" s="43"/>
      <c r="E618" s="43"/>
      <c r="F618" s="43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42"/>
      <c r="C619" s="43"/>
      <c r="D619" s="43"/>
      <c r="E619" s="43"/>
      <c r="F619" s="43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42"/>
      <c r="C620" s="43"/>
      <c r="D620" s="43"/>
      <c r="E620" s="43"/>
      <c r="F620" s="43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42"/>
      <c r="C621" s="43"/>
      <c r="D621" s="43"/>
      <c r="E621" s="43"/>
      <c r="F621" s="43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42"/>
      <c r="C622" s="43"/>
      <c r="D622" s="43"/>
      <c r="E622" s="43"/>
      <c r="F622" s="43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42"/>
      <c r="C623" s="43"/>
      <c r="D623" s="43"/>
      <c r="E623" s="43"/>
      <c r="F623" s="43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42"/>
      <c r="C624" s="43"/>
      <c r="D624" s="43"/>
      <c r="E624" s="43"/>
      <c r="F624" s="43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42"/>
      <c r="C625" s="43"/>
      <c r="D625" s="43"/>
      <c r="E625" s="43"/>
      <c r="F625" s="43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42"/>
      <c r="C626" s="43"/>
      <c r="D626" s="43"/>
      <c r="E626" s="43"/>
      <c r="F626" s="43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42"/>
      <c r="C627" s="43"/>
      <c r="D627" s="43"/>
      <c r="E627" s="43"/>
      <c r="F627" s="43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42"/>
      <c r="C628" s="43"/>
      <c r="D628" s="43"/>
      <c r="E628" s="43"/>
      <c r="F628" s="43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42"/>
      <c r="C629" s="43"/>
      <c r="D629" s="43"/>
      <c r="E629" s="43"/>
      <c r="F629" s="43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42"/>
      <c r="C630" s="43"/>
      <c r="D630" s="43"/>
      <c r="E630" s="43"/>
      <c r="F630" s="43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42"/>
      <c r="C631" s="43"/>
      <c r="D631" s="43"/>
      <c r="E631" s="43"/>
      <c r="F631" s="43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42"/>
      <c r="C632" s="43"/>
      <c r="D632" s="43"/>
      <c r="E632" s="43"/>
      <c r="F632" s="43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42"/>
      <c r="C633" s="43"/>
      <c r="D633" s="43"/>
      <c r="E633" s="43"/>
      <c r="F633" s="43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42"/>
      <c r="C634" s="43"/>
      <c r="D634" s="43"/>
      <c r="E634" s="43"/>
      <c r="F634" s="43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42"/>
      <c r="C635" s="43"/>
      <c r="D635" s="43"/>
      <c r="E635" s="43"/>
      <c r="F635" s="43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42"/>
      <c r="C636" s="43"/>
      <c r="D636" s="43"/>
      <c r="E636" s="43"/>
      <c r="F636" s="43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42"/>
      <c r="C637" s="43"/>
      <c r="D637" s="43"/>
      <c r="E637" s="43"/>
      <c r="F637" s="43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42"/>
      <c r="C638" s="43"/>
      <c r="D638" s="43"/>
      <c r="E638" s="43"/>
      <c r="F638" s="43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42"/>
      <c r="C639" s="43"/>
      <c r="D639" s="43"/>
      <c r="E639" s="43"/>
      <c r="F639" s="43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42"/>
      <c r="C640" s="43"/>
      <c r="D640" s="43"/>
      <c r="E640" s="43"/>
      <c r="F640" s="43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42"/>
      <c r="C641" s="43"/>
      <c r="D641" s="43"/>
      <c r="E641" s="43"/>
      <c r="F641" s="43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42"/>
      <c r="C642" s="43"/>
      <c r="D642" s="43"/>
      <c r="E642" s="43"/>
      <c r="F642" s="43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42"/>
      <c r="C643" s="43"/>
      <c r="D643" s="43"/>
      <c r="E643" s="43"/>
      <c r="F643" s="43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42"/>
      <c r="C644" s="43"/>
      <c r="D644" s="43"/>
      <c r="E644" s="43"/>
      <c r="F644" s="43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42"/>
      <c r="C645" s="43"/>
      <c r="D645" s="43"/>
      <c r="E645" s="43"/>
      <c r="F645" s="43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42"/>
      <c r="C646" s="43"/>
      <c r="D646" s="43"/>
      <c r="E646" s="43"/>
      <c r="F646" s="43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42"/>
      <c r="C647" s="43"/>
      <c r="D647" s="43"/>
      <c r="E647" s="43"/>
      <c r="F647" s="43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42"/>
      <c r="C648" s="43"/>
      <c r="D648" s="43"/>
      <c r="E648" s="43"/>
      <c r="F648" s="43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42"/>
      <c r="C649" s="43"/>
      <c r="D649" s="43"/>
      <c r="E649" s="43"/>
      <c r="F649" s="43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42"/>
      <c r="C650" s="43"/>
      <c r="D650" s="43"/>
      <c r="E650" s="43"/>
      <c r="F650" s="43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42"/>
      <c r="C651" s="43"/>
      <c r="D651" s="43"/>
      <c r="E651" s="43"/>
      <c r="F651" s="43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42"/>
      <c r="C652" s="43"/>
      <c r="D652" s="43"/>
      <c r="E652" s="43"/>
      <c r="F652" s="43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42"/>
      <c r="C653" s="43"/>
      <c r="D653" s="43"/>
      <c r="E653" s="43"/>
      <c r="F653" s="43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42"/>
      <c r="C654" s="43"/>
      <c r="D654" s="43"/>
      <c r="E654" s="43"/>
      <c r="F654" s="43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42"/>
      <c r="C655" s="43"/>
      <c r="D655" s="43"/>
      <c r="E655" s="43"/>
      <c r="F655" s="43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42"/>
      <c r="C656" s="43"/>
      <c r="D656" s="43"/>
      <c r="E656" s="43"/>
      <c r="F656" s="43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42"/>
      <c r="C657" s="43"/>
      <c r="D657" s="43"/>
      <c r="E657" s="43"/>
      <c r="F657" s="43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42"/>
      <c r="C658" s="43"/>
      <c r="D658" s="43"/>
      <c r="E658" s="43"/>
      <c r="F658" s="43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42"/>
      <c r="C659" s="43"/>
      <c r="D659" s="43"/>
      <c r="E659" s="43"/>
      <c r="F659" s="43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42"/>
      <c r="C660" s="43"/>
      <c r="D660" s="43"/>
      <c r="E660" s="43"/>
      <c r="F660" s="43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42"/>
      <c r="C661" s="43"/>
      <c r="D661" s="43"/>
      <c r="E661" s="43"/>
      <c r="F661" s="43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42"/>
      <c r="C662" s="43"/>
      <c r="D662" s="43"/>
      <c r="E662" s="43"/>
      <c r="F662" s="43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42"/>
      <c r="C663" s="43"/>
      <c r="D663" s="43"/>
      <c r="E663" s="43"/>
      <c r="F663" s="43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42"/>
      <c r="C664" s="43"/>
      <c r="D664" s="43"/>
      <c r="E664" s="43"/>
      <c r="F664" s="43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42"/>
      <c r="C665" s="43"/>
      <c r="D665" s="43"/>
      <c r="E665" s="43"/>
      <c r="F665" s="43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42"/>
      <c r="C666" s="43"/>
      <c r="D666" s="43"/>
      <c r="E666" s="43"/>
      <c r="F666" s="43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42"/>
      <c r="C667" s="43"/>
      <c r="D667" s="43"/>
      <c r="E667" s="43"/>
      <c r="F667" s="43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42"/>
      <c r="C668" s="43"/>
      <c r="D668" s="43"/>
      <c r="E668" s="43"/>
      <c r="F668" s="43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42"/>
      <c r="C669" s="43"/>
      <c r="D669" s="43"/>
      <c r="E669" s="43"/>
      <c r="F669" s="43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42"/>
      <c r="C670" s="43"/>
      <c r="D670" s="43"/>
      <c r="E670" s="43"/>
      <c r="F670" s="43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42"/>
      <c r="C671" s="43"/>
      <c r="D671" s="43"/>
      <c r="E671" s="43"/>
      <c r="F671" s="43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42"/>
      <c r="C672" s="43"/>
      <c r="D672" s="43"/>
      <c r="E672" s="43"/>
      <c r="F672" s="43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42"/>
      <c r="C673" s="43"/>
      <c r="D673" s="43"/>
      <c r="E673" s="43"/>
      <c r="F673" s="43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42"/>
      <c r="C674" s="43"/>
      <c r="D674" s="43"/>
      <c r="E674" s="43"/>
      <c r="F674" s="43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42"/>
      <c r="C675" s="43"/>
      <c r="D675" s="43"/>
      <c r="E675" s="43"/>
      <c r="F675" s="43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42"/>
      <c r="C676" s="43"/>
      <c r="D676" s="43"/>
      <c r="E676" s="43"/>
      <c r="F676" s="43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42"/>
      <c r="C677" s="43"/>
      <c r="D677" s="43"/>
      <c r="E677" s="43"/>
      <c r="F677" s="43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42"/>
      <c r="C678" s="43"/>
      <c r="D678" s="43"/>
      <c r="E678" s="43"/>
      <c r="F678" s="43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42"/>
      <c r="C679" s="43"/>
      <c r="D679" s="43"/>
      <c r="E679" s="43"/>
      <c r="F679" s="43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42"/>
      <c r="C680" s="43"/>
      <c r="D680" s="43"/>
      <c r="E680" s="43"/>
      <c r="F680" s="43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42"/>
      <c r="C681" s="43"/>
      <c r="D681" s="43"/>
      <c r="E681" s="43"/>
      <c r="F681" s="43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42"/>
      <c r="C682" s="43"/>
      <c r="D682" s="43"/>
      <c r="E682" s="43"/>
      <c r="F682" s="43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42"/>
      <c r="C683" s="43"/>
      <c r="D683" s="43"/>
      <c r="E683" s="43"/>
      <c r="F683" s="43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42"/>
      <c r="C684" s="43"/>
      <c r="D684" s="43"/>
      <c r="E684" s="43"/>
      <c r="F684" s="43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42"/>
      <c r="C685" s="43"/>
      <c r="D685" s="43"/>
      <c r="E685" s="43"/>
      <c r="F685" s="43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42"/>
      <c r="C686" s="43"/>
      <c r="D686" s="43"/>
      <c r="E686" s="43"/>
      <c r="F686" s="43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42"/>
      <c r="C687" s="43"/>
      <c r="D687" s="43"/>
      <c r="E687" s="43"/>
      <c r="F687" s="43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42"/>
      <c r="C688" s="43"/>
      <c r="D688" s="43"/>
      <c r="E688" s="43"/>
      <c r="F688" s="43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42"/>
      <c r="C689" s="43"/>
      <c r="D689" s="43"/>
      <c r="E689" s="43"/>
      <c r="F689" s="43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42"/>
      <c r="C690" s="43"/>
      <c r="D690" s="43"/>
      <c r="E690" s="43"/>
      <c r="F690" s="43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42"/>
      <c r="C691" s="43"/>
      <c r="D691" s="43"/>
      <c r="E691" s="43"/>
      <c r="F691" s="43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42"/>
      <c r="C692" s="43"/>
      <c r="D692" s="43"/>
      <c r="E692" s="43"/>
      <c r="F692" s="43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42"/>
      <c r="C693" s="43"/>
      <c r="D693" s="43"/>
      <c r="E693" s="43"/>
      <c r="F693" s="43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42"/>
      <c r="C694" s="43"/>
      <c r="D694" s="43"/>
      <c r="E694" s="43"/>
      <c r="F694" s="43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42"/>
      <c r="C695" s="43"/>
      <c r="D695" s="43"/>
      <c r="E695" s="43"/>
      <c r="F695" s="43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42"/>
      <c r="C696" s="43"/>
      <c r="D696" s="43"/>
      <c r="E696" s="43"/>
      <c r="F696" s="43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42"/>
      <c r="C697" s="43"/>
      <c r="D697" s="43"/>
      <c r="E697" s="43"/>
      <c r="F697" s="43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42"/>
      <c r="C698" s="43"/>
      <c r="D698" s="43"/>
      <c r="E698" s="43"/>
      <c r="F698" s="43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42"/>
      <c r="C699" s="43"/>
      <c r="D699" s="43"/>
      <c r="E699" s="43"/>
      <c r="F699" s="43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42"/>
      <c r="C700" s="43"/>
      <c r="D700" s="43"/>
      <c r="E700" s="43"/>
      <c r="F700" s="43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42"/>
      <c r="C701" s="43"/>
      <c r="D701" s="43"/>
      <c r="E701" s="43"/>
      <c r="F701" s="43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42"/>
      <c r="C702" s="43"/>
      <c r="D702" s="43"/>
      <c r="E702" s="43"/>
      <c r="F702" s="43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42"/>
      <c r="C703" s="43"/>
      <c r="D703" s="43"/>
      <c r="E703" s="43"/>
      <c r="F703" s="43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42"/>
      <c r="C704" s="43"/>
      <c r="D704" s="43"/>
      <c r="E704" s="43"/>
      <c r="F704" s="43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42"/>
      <c r="C705" s="43"/>
      <c r="D705" s="43"/>
      <c r="E705" s="43"/>
      <c r="F705" s="43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42"/>
      <c r="C706" s="43"/>
      <c r="D706" s="43"/>
      <c r="E706" s="43"/>
      <c r="F706" s="43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42"/>
      <c r="C707" s="43"/>
      <c r="D707" s="43"/>
      <c r="E707" s="43"/>
      <c r="F707" s="43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42"/>
      <c r="C708" s="43"/>
      <c r="D708" s="43"/>
      <c r="E708" s="43"/>
      <c r="F708" s="43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42"/>
      <c r="C709" s="43"/>
      <c r="D709" s="43"/>
      <c r="E709" s="43"/>
      <c r="F709" s="43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42"/>
      <c r="C710" s="43"/>
      <c r="D710" s="43"/>
      <c r="E710" s="43"/>
      <c r="F710" s="43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42"/>
      <c r="C711" s="43"/>
      <c r="D711" s="43"/>
      <c r="E711" s="43"/>
      <c r="F711" s="43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42"/>
      <c r="C712" s="43"/>
      <c r="D712" s="43"/>
      <c r="E712" s="43"/>
      <c r="F712" s="43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42"/>
      <c r="C713" s="43"/>
      <c r="D713" s="43"/>
      <c r="E713" s="43"/>
      <c r="F713" s="43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42"/>
      <c r="C714" s="43"/>
      <c r="D714" s="43"/>
      <c r="E714" s="43"/>
      <c r="F714" s="43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42"/>
      <c r="C715" s="43"/>
      <c r="D715" s="43"/>
      <c r="E715" s="43"/>
      <c r="F715" s="43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42"/>
      <c r="C716" s="43"/>
      <c r="D716" s="43"/>
      <c r="E716" s="43"/>
      <c r="F716" s="43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42"/>
      <c r="C717" s="43"/>
      <c r="D717" s="43"/>
      <c r="E717" s="43"/>
      <c r="F717" s="43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42"/>
      <c r="C718" s="43"/>
      <c r="D718" s="43"/>
      <c r="E718" s="43"/>
      <c r="F718" s="43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42"/>
      <c r="C719" s="43"/>
      <c r="D719" s="43"/>
      <c r="E719" s="43"/>
      <c r="F719" s="43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42"/>
      <c r="C720" s="43"/>
      <c r="D720" s="43"/>
      <c r="E720" s="43"/>
      <c r="F720" s="43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42"/>
      <c r="C721" s="43"/>
      <c r="D721" s="43"/>
      <c r="E721" s="43"/>
      <c r="F721" s="43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42"/>
      <c r="C722" s="43"/>
      <c r="D722" s="43"/>
      <c r="E722" s="43"/>
      <c r="F722" s="43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42"/>
      <c r="C723" s="43"/>
      <c r="D723" s="43"/>
      <c r="E723" s="43"/>
      <c r="F723" s="43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42"/>
      <c r="C724" s="43"/>
      <c r="D724" s="43"/>
      <c r="E724" s="43"/>
      <c r="F724" s="43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42"/>
      <c r="C725" s="43"/>
      <c r="D725" s="43"/>
      <c r="E725" s="43"/>
      <c r="F725" s="43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42"/>
      <c r="C726" s="43"/>
      <c r="D726" s="43"/>
      <c r="E726" s="43"/>
      <c r="F726" s="43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42"/>
      <c r="C727" s="43"/>
      <c r="D727" s="43"/>
      <c r="E727" s="43"/>
      <c r="F727" s="43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42"/>
      <c r="C728" s="43"/>
      <c r="D728" s="43"/>
      <c r="E728" s="43"/>
      <c r="F728" s="43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42"/>
      <c r="C729" s="43"/>
      <c r="D729" s="43"/>
      <c r="E729" s="43"/>
      <c r="F729" s="43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42"/>
      <c r="C730" s="43"/>
      <c r="D730" s="43"/>
      <c r="E730" s="43"/>
      <c r="F730" s="43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42"/>
      <c r="C731" s="43"/>
      <c r="D731" s="43"/>
      <c r="E731" s="43"/>
      <c r="F731" s="43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42"/>
      <c r="C732" s="43"/>
      <c r="D732" s="43"/>
      <c r="E732" s="43"/>
      <c r="F732" s="43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42"/>
      <c r="C733" s="43"/>
      <c r="D733" s="43"/>
      <c r="E733" s="43"/>
      <c r="F733" s="43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42"/>
      <c r="C734" s="43"/>
      <c r="D734" s="43"/>
      <c r="E734" s="43"/>
      <c r="F734" s="43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42"/>
      <c r="C735" s="43"/>
      <c r="D735" s="43"/>
      <c r="E735" s="43"/>
      <c r="F735" s="43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42"/>
      <c r="C736" s="43"/>
      <c r="D736" s="43"/>
      <c r="E736" s="43"/>
      <c r="F736" s="43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42"/>
      <c r="C737" s="43"/>
      <c r="D737" s="43"/>
      <c r="E737" s="43"/>
      <c r="F737" s="43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42"/>
      <c r="C738" s="43"/>
      <c r="D738" s="43"/>
      <c r="E738" s="43"/>
      <c r="F738" s="43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42"/>
      <c r="C739" s="43"/>
      <c r="D739" s="43"/>
      <c r="E739" s="43"/>
      <c r="F739" s="43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42"/>
      <c r="C740" s="43"/>
      <c r="D740" s="43"/>
      <c r="E740" s="43"/>
      <c r="F740" s="43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42"/>
      <c r="C741" s="43"/>
      <c r="D741" s="43"/>
      <c r="E741" s="43"/>
      <c r="F741" s="43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42"/>
      <c r="C742" s="43"/>
      <c r="D742" s="43"/>
      <c r="E742" s="43"/>
      <c r="F742" s="43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42"/>
      <c r="C743" s="43"/>
      <c r="D743" s="43"/>
      <c r="E743" s="43"/>
      <c r="F743" s="43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42"/>
      <c r="C744" s="43"/>
      <c r="D744" s="43"/>
      <c r="E744" s="43"/>
      <c r="F744" s="43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42"/>
      <c r="C745" s="43"/>
      <c r="D745" s="43"/>
      <c r="E745" s="43"/>
      <c r="F745" s="43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42"/>
      <c r="C746" s="43"/>
      <c r="D746" s="43"/>
      <c r="E746" s="43"/>
      <c r="F746" s="43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42"/>
      <c r="C747" s="43"/>
      <c r="D747" s="43"/>
      <c r="E747" s="43"/>
      <c r="F747" s="43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42"/>
      <c r="C748" s="43"/>
      <c r="D748" s="43"/>
      <c r="E748" s="43"/>
      <c r="F748" s="43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42"/>
      <c r="C749" s="43"/>
      <c r="D749" s="43"/>
      <c r="E749" s="43"/>
      <c r="F749" s="43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42"/>
      <c r="C750" s="43"/>
      <c r="D750" s="43"/>
      <c r="E750" s="43"/>
      <c r="F750" s="43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42"/>
      <c r="C751" s="43"/>
      <c r="D751" s="43"/>
      <c r="E751" s="43"/>
      <c r="F751" s="43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42"/>
      <c r="C752" s="43"/>
      <c r="D752" s="43"/>
      <c r="E752" s="43"/>
      <c r="F752" s="43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42"/>
      <c r="C753" s="43"/>
      <c r="D753" s="43"/>
      <c r="E753" s="43"/>
      <c r="F753" s="43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42"/>
      <c r="C754" s="43"/>
      <c r="D754" s="43"/>
      <c r="E754" s="43"/>
      <c r="F754" s="43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42"/>
      <c r="C755" s="43"/>
      <c r="D755" s="43"/>
      <c r="E755" s="43"/>
      <c r="F755" s="43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42"/>
      <c r="C756" s="43"/>
      <c r="D756" s="43"/>
      <c r="E756" s="43"/>
      <c r="F756" s="43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42"/>
      <c r="C757" s="43"/>
      <c r="D757" s="43"/>
      <c r="E757" s="43"/>
      <c r="F757" s="43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42"/>
      <c r="C758" s="43"/>
      <c r="D758" s="43"/>
      <c r="E758" s="43"/>
      <c r="F758" s="43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42"/>
      <c r="C759" s="43"/>
      <c r="D759" s="43"/>
      <c r="E759" s="43"/>
      <c r="F759" s="43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42"/>
      <c r="C760" s="43"/>
      <c r="D760" s="43"/>
      <c r="E760" s="43"/>
      <c r="F760" s="43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42"/>
      <c r="C761" s="43"/>
      <c r="D761" s="43"/>
      <c r="E761" s="43"/>
      <c r="F761" s="43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42"/>
      <c r="C762" s="43"/>
      <c r="D762" s="43"/>
      <c r="E762" s="43"/>
      <c r="F762" s="43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42"/>
      <c r="C763" s="43"/>
      <c r="D763" s="43"/>
      <c r="E763" s="43"/>
      <c r="F763" s="43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42"/>
      <c r="C764" s="43"/>
      <c r="D764" s="43"/>
      <c r="E764" s="43"/>
      <c r="F764" s="43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42"/>
      <c r="C765" s="43"/>
      <c r="D765" s="43"/>
      <c r="E765" s="43"/>
      <c r="F765" s="43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42"/>
      <c r="C766" s="43"/>
      <c r="D766" s="43"/>
      <c r="E766" s="43"/>
      <c r="F766" s="43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42"/>
      <c r="C767" s="43"/>
      <c r="D767" s="43"/>
      <c r="E767" s="43"/>
      <c r="F767" s="43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42"/>
      <c r="C768" s="43"/>
      <c r="D768" s="43"/>
      <c r="E768" s="43"/>
      <c r="F768" s="43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42"/>
      <c r="C769" s="43"/>
      <c r="D769" s="43"/>
      <c r="E769" s="43"/>
      <c r="F769" s="43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42"/>
      <c r="C770" s="43"/>
      <c r="D770" s="43"/>
      <c r="E770" s="43"/>
      <c r="F770" s="43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42"/>
      <c r="C771" s="43"/>
      <c r="D771" s="43"/>
      <c r="E771" s="43"/>
      <c r="F771" s="43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42"/>
      <c r="C772" s="43"/>
      <c r="D772" s="43"/>
      <c r="E772" s="43"/>
      <c r="F772" s="43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42"/>
      <c r="C773" s="43"/>
      <c r="D773" s="43"/>
      <c r="E773" s="43"/>
      <c r="F773" s="43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42"/>
      <c r="C774" s="43"/>
      <c r="D774" s="43"/>
      <c r="E774" s="43"/>
      <c r="F774" s="43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42"/>
      <c r="C775" s="43"/>
      <c r="D775" s="43"/>
      <c r="E775" s="43"/>
      <c r="F775" s="43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42"/>
      <c r="C776" s="43"/>
      <c r="D776" s="43"/>
      <c r="E776" s="43"/>
      <c r="F776" s="43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42"/>
      <c r="C777" s="43"/>
      <c r="D777" s="43"/>
      <c r="E777" s="43"/>
      <c r="F777" s="43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42"/>
      <c r="C778" s="43"/>
      <c r="D778" s="43"/>
      <c r="E778" s="43"/>
      <c r="F778" s="43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42"/>
      <c r="C779" s="43"/>
      <c r="D779" s="43"/>
      <c r="E779" s="43"/>
      <c r="F779" s="43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42"/>
      <c r="C780" s="43"/>
      <c r="D780" s="43"/>
      <c r="E780" s="43"/>
      <c r="F780" s="43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42"/>
      <c r="C781" s="43"/>
      <c r="D781" s="43"/>
      <c r="E781" s="43"/>
      <c r="F781" s="43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42"/>
      <c r="C782" s="43"/>
      <c r="D782" s="43"/>
      <c r="E782" s="43"/>
      <c r="F782" s="43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42"/>
      <c r="C783" s="43"/>
      <c r="D783" s="43"/>
      <c r="E783" s="43"/>
      <c r="F783" s="43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42"/>
      <c r="C784" s="43"/>
      <c r="D784" s="43"/>
      <c r="E784" s="43"/>
      <c r="F784" s="43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42"/>
      <c r="C785" s="43"/>
      <c r="D785" s="43"/>
      <c r="E785" s="43"/>
      <c r="F785" s="43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42"/>
      <c r="C786" s="43"/>
      <c r="D786" s="43"/>
      <c r="E786" s="43"/>
      <c r="F786" s="43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42"/>
      <c r="C787" s="43"/>
      <c r="D787" s="43"/>
      <c r="E787" s="43"/>
      <c r="F787" s="43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42"/>
      <c r="C788" s="43"/>
      <c r="D788" s="43"/>
      <c r="E788" s="43"/>
      <c r="F788" s="43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42"/>
      <c r="C789" s="43"/>
      <c r="D789" s="43"/>
      <c r="E789" s="43"/>
      <c r="F789" s="43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42"/>
      <c r="C790" s="43"/>
      <c r="D790" s="43"/>
      <c r="E790" s="43"/>
      <c r="F790" s="43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42"/>
      <c r="C791" s="43"/>
      <c r="D791" s="43"/>
      <c r="E791" s="43"/>
      <c r="F791" s="43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42"/>
      <c r="C792" s="43"/>
      <c r="D792" s="43"/>
      <c r="E792" s="43"/>
      <c r="F792" s="43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42"/>
      <c r="C793" s="43"/>
      <c r="D793" s="43"/>
      <c r="E793" s="43"/>
      <c r="F793" s="43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42"/>
      <c r="C794" s="43"/>
      <c r="D794" s="43"/>
      <c r="E794" s="43"/>
      <c r="F794" s="43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42"/>
      <c r="C795" s="43"/>
      <c r="D795" s="43"/>
      <c r="E795" s="43"/>
      <c r="F795" s="43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42"/>
      <c r="C796" s="43"/>
      <c r="D796" s="43"/>
      <c r="E796" s="43"/>
      <c r="F796" s="43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42"/>
      <c r="C797" s="43"/>
      <c r="D797" s="43"/>
      <c r="E797" s="43"/>
      <c r="F797" s="43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42"/>
      <c r="C798" s="43"/>
      <c r="D798" s="43"/>
      <c r="E798" s="43"/>
      <c r="F798" s="43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42"/>
      <c r="C799" s="43"/>
      <c r="D799" s="43"/>
      <c r="E799" s="43"/>
      <c r="F799" s="43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42"/>
      <c r="C800" s="43"/>
      <c r="D800" s="43"/>
      <c r="E800" s="43"/>
      <c r="F800" s="43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42"/>
      <c r="C801" s="43"/>
      <c r="D801" s="43"/>
      <c r="E801" s="43"/>
      <c r="F801" s="43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42"/>
      <c r="C802" s="43"/>
      <c r="D802" s="43"/>
      <c r="E802" s="43"/>
      <c r="F802" s="43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42"/>
      <c r="C803" s="43"/>
      <c r="D803" s="43"/>
      <c r="E803" s="43"/>
      <c r="F803" s="43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42"/>
      <c r="C804" s="43"/>
      <c r="D804" s="43"/>
      <c r="E804" s="43"/>
      <c r="F804" s="43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42"/>
      <c r="C805" s="43"/>
      <c r="D805" s="43"/>
      <c r="E805" s="43"/>
      <c r="F805" s="43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42"/>
      <c r="C806" s="43"/>
      <c r="D806" s="43"/>
      <c r="E806" s="43"/>
      <c r="F806" s="43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42"/>
      <c r="C807" s="43"/>
      <c r="D807" s="43"/>
      <c r="E807" s="43"/>
      <c r="F807" s="43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42"/>
      <c r="C808" s="43"/>
      <c r="D808" s="43"/>
      <c r="E808" s="43"/>
      <c r="F808" s="43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42"/>
      <c r="C809" s="43"/>
      <c r="D809" s="43"/>
      <c r="E809" s="43"/>
      <c r="F809" s="43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42"/>
      <c r="C810" s="43"/>
      <c r="D810" s="43"/>
      <c r="E810" s="43"/>
      <c r="F810" s="43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42"/>
      <c r="C811" s="43"/>
      <c r="D811" s="43"/>
      <c r="E811" s="43"/>
      <c r="F811" s="43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42"/>
      <c r="C812" s="43"/>
      <c r="D812" s="43"/>
      <c r="E812" s="43"/>
      <c r="F812" s="43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42"/>
      <c r="C813" s="43"/>
      <c r="D813" s="43"/>
      <c r="E813" s="43"/>
      <c r="F813" s="43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42"/>
      <c r="C814" s="43"/>
      <c r="D814" s="43"/>
      <c r="E814" s="43"/>
      <c r="F814" s="43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42"/>
      <c r="C815" s="43"/>
      <c r="D815" s="43"/>
      <c r="E815" s="43"/>
      <c r="F815" s="43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42"/>
      <c r="C816" s="43"/>
      <c r="D816" s="43"/>
      <c r="E816" s="43"/>
      <c r="F816" s="43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42"/>
      <c r="C817" s="43"/>
      <c r="D817" s="43"/>
      <c r="E817" s="43"/>
      <c r="F817" s="43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42"/>
      <c r="C818" s="43"/>
      <c r="D818" s="43"/>
      <c r="E818" s="43"/>
      <c r="F818" s="43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42"/>
      <c r="C819" s="43"/>
      <c r="D819" s="43"/>
      <c r="E819" s="43"/>
      <c r="F819" s="43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42"/>
      <c r="C820" s="43"/>
      <c r="D820" s="43"/>
      <c r="E820" s="43"/>
      <c r="F820" s="43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42"/>
      <c r="C821" s="43"/>
      <c r="D821" s="43"/>
      <c r="E821" s="43"/>
      <c r="F821" s="43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42"/>
      <c r="C822" s="43"/>
      <c r="D822" s="43"/>
      <c r="E822" s="43"/>
      <c r="F822" s="43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42"/>
      <c r="C823" s="43"/>
      <c r="D823" s="43"/>
      <c r="E823" s="43"/>
      <c r="F823" s="43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42"/>
      <c r="C824" s="43"/>
      <c r="D824" s="43"/>
      <c r="E824" s="43"/>
      <c r="F824" s="43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42"/>
      <c r="C825" s="43"/>
      <c r="D825" s="43"/>
      <c r="E825" s="43"/>
      <c r="F825" s="43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42"/>
      <c r="C826" s="43"/>
      <c r="D826" s="43"/>
      <c r="E826" s="43"/>
      <c r="F826" s="43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42"/>
      <c r="C827" s="43"/>
      <c r="D827" s="43"/>
      <c r="E827" s="43"/>
      <c r="F827" s="43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42"/>
      <c r="C828" s="43"/>
      <c r="D828" s="43"/>
      <c r="E828" s="43"/>
      <c r="F828" s="43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42"/>
      <c r="C829" s="43"/>
      <c r="D829" s="43"/>
      <c r="E829" s="43"/>
      <c r="F829" s="43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42"/>
      <c r="C830" s="43"/>
      <c r="D830" s="43"/>
      <c r="E830" s="43"/>
      <c r="F830" s="43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42"/>
      <c r="C831" s="43"/>
      <c r="D831" s="43"/>
      <c r="E831" s="43"/>
      <c r="F831" s="43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42"/>
      <c r="C832" s="43"/>
      <c r="D832" s="43"/>
      <c r="E832" s="43"/>
      <c r="F832" s="43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42"/>
      <c r="C833" s="43"/>
      <c r="D833" s="43"/>
      <c r="E833" s="43"/>
      <c r="F833" s="43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42"/>
      <c r="C834" s="43"/>
      <c r="D834" s="43"/>
      <c r="E834" s="43"/>
      <c r="F834" s="43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42"/>
      <c r="C835" s="43"/>
      <c r="D835" s="43"/>
      <c r="E835" s="43"/>
      <c r="F835" s="43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42"/>
      <c r="C836" s="43"/>
      <c r="D836" s="43"/>
      <c r="E836" s="43"/>
      <c r="F836" s="43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42"/>
      <c r="C837" s="43"/>
      <c r="D837" s="43"/>
      <c r="E837" s="43"/>
      <c r="F837" s="43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42"/>
      <c r="C838" s="43"/>
      <c r="D838" s="43"/>
      <c r="E838" s="43"/>
      <c r="F838" s="43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42"/>
      <c r="C839" s="43"/>
      <c r="D839" s="43"/>
      <c r="E839" s="43"/>
      <c r="F839" s="43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42"/>
      <c r="C840" s="43"/>
      <c r="D840" s="43"/>
      <c r="E840" s="43"/>
      <c r="F840" s="43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42"/>
      <c r="C841" s="43"/>
      <c r="D841" s="43"/>
      <c r="E841" s="43"/>
      <c r="F841" s="43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42"/>
      <c r="C842" s="43"/>
      <c r="D842" s="43"/>
      <c r="E842" s="43"/>
      <c r="F842" s="43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42"/>
      <c r="C843" s="43"/>
      <c r="D843" s="43"/>
      <c r="E843" s="43"/>
      <c r="F843" s="43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42"/>
      <c r="C844" s="43"/>
      <c r="D844" s="43"/>
      <c r="E844" s="43"/>
      <c r="F844" s="43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42"/>
      <c r="C845" s="43"/>
      <c r="D845" s="43"/>
      <c r="E845" s="43"/>
      <c r="F845" s="43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42"/>
      <c r="C846" s="43"/>
      <c r="D846" s="43"/>
      <c r="E846" s="43"/>
      <c r="F846" s="43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42"/>
      <c r="C847" s="43"/>
      <c r="D847" s="43"/>
      <c r="E847" s="43"/>
      <c r="F847" s="43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42"/>
      <c r="C848" s="43"/>
      <c r="D848" s="43"/>
      <c r="E848" s="43"/>
      <c r="F848" s="43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42"/>
      <c r="C849" s="43"/>
      <c r="D849" s="43"/>
      <c r="E849" s="43"/>
      <c r="F849" s="43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42"/>
      <c r="C850" s="43"/>
      <c r="D850" s="43"/>
      <c r="E850" s="43"/>
      <c r="F850" s="43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42"/>
      <c r="C851" s="43"/>
      <c r="D851" s="43"/>
      <c r="E851" s="43"/>
      <c r="F851" s="43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42"/>
      <c r="C852" s="43"/>
      <c r="D852" s="43"/>
      <c r="E852" s="43"/>
      <c r="F852" s="43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42"/>
      <c r="C853" s="43"/>
      <c r="D853" s="43"/>
      <c r="E853" s="43"/>
      <c r="F853" s="43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42"/>
      <c r="C854" s="43"/>
      <c r="D854" s="43"/>
      <c r="E854" s="43"/>
      <c r="F854" s="43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42"/>
      <c r="C855" s="43"/>
      <c r="D855" s="43"/>
      <c r="E855" s="43"/>
      <c r="F855" s="43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42"/>
      <c r="C856" s="43"/>
      <c r="D856" s="43"/>
      <c r="E856" s="43"/>
      <c r="F856" s="43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42"/>
      <c r="C857" s="43"/>
      <c r="D857" s="43"/>
      <c r="E857" s="43"/>
      <c r="F857" s="43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42"/>
      <c r="C858" s="43"/>
      <c r="D858" s="43"/>
      <c r="E858" s="43"/>
      <c r="F858" s="43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42"/>
      <c r="C859" s="43"/>
      <c r="D859" s="43"/>
      <c r="E859" s="43"/>
      <c r="F859" s="43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42"/>
      <c r="C860" s="43"/>
      <c r="D860" s="43"/>
      <c r="E860" s="43"/>
      <c r="F860" s="43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42"/>
      <c r="C861" s="43"/>
      <c r="D861" s="43"/>
      <c r="E861" s="43"/>
      <c r="F861" s="43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42"/>
      <c r="C862" s="43"/>
      <c r="D862" s="43"/>
      <c r="E862" s="43"/>
      <c r="F862" s="43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42"/>
      <c r="C863" s="43"/>
      <c r="D863" s="43"/>
      <c r="E863" s="43"/>
      <c r="F863" s="43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42"/>
      <c r="C864" s="43"/>
      <c r="D864" s="43"/>
      <c r="E864" s="43"/>
      <c r="F864" s="43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42"/>
      <c r="C865" s="43"/>
      <c r="D865" s="43"/>
      <c r="E865" s="43"/>
      <c r="F865" s="43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42"/>
      <c r="C866" s="43"/>
      <c r="D866" s="43"/>
      <c r="E866" s="43"/>
      <c r="F866" s="43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42"/>
      <c r="C867" s="43"/>
      <c r="D867" s="43"/>
      <c r="E867" s="43"/>
      <c r="F867" s="43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42"/>
      <c r="C868" s="43"/>
      <c r="D868" s="43"/>
      <c r="E868" s="43"/>
      <c r="F868" s="43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42"/>
      <c r="C869" s="43"/>
      <c r="D869" s="43"/>
      <c r="E869" s="43"/>
      <c r="F869" s="43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42"/>
      <c r="C870" s="43"/>
      <c r="D870" s="43"/>
      <c r="E870" s="43"/>
      <c r="F870" s="43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42"/>
      <c r="C871" s="43"/>
      <c r="D871" s="43"/>
      <c r="E871" s="43"/>
      <c r="F871" s="43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42"/>
      <c r="C872" s="43"/>
      <c r="D872" s="43"/>
      <c r="E872" s="43"/>
      <c r="F872" s="43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42"/>
      <c r="C873" s="43"/>
      <c r="D873" s="43"/>
      <c r="E873" s="43"/>
      <c r="F873" s="43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42"/>
      <c r="C874" s="43"/>
      <c r="D874" s="43"/>
      <c r="E874" s="43"/>
      <c r="F874" s="43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42"/>
      <c r="C875" s="43"/>
      <c r="D875" s="43"/>
      <c r="E875" s="43"/>
      <c r="F875" s="43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42"/>
      <c r="C876" s="43"/>
      <c r="D876" s="43"/>
      <c r="E876" s="43"/>
      <c r="F876" s="43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42"/>
      <c r="C877" s="43"/>
      <c r="D877" s="43"/>
      <c r="E877" s="43"/>
      <c r="F877" s="43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42"/>
      <c r="C878" s="43"/>
      <c r="D878" s="43"/>
      <c r="E878" s="43"/>
      <c r="F878" s="43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42"/>
      <c r="C879" s="43"/>
      <c r="D879" s="43"/>
      <c r="E879" s="43"/>
      <c r="F879" s="43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42"/>
      <c r="C880" s="43"/>
      <c r="D880" s="43"/>
      <c r="E880" s="43"/>
      <c r="F880" s="43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42"/>
      <c r="C881" s="43"/>
      <c r="D881" s="43"/>
      <c r="E881" s="43"/>
      <c r="F881" s="43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42"/>
      <c r="C882" s="43"/>
      <c r="D882" s="43"/>
      <c r="E882" s="43"/>
      <c r="F882" s="43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42"/>
      <c r="C883" s="43"/>
      <c r="D883" s="43"/>
      <c r="E883" s="43"/>
      <c r="F883" s="43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42"/>
      <c r="C884" s="43"/>
      <c r="D884" s="43"/>
      <c r="E884" s="43"/>
      <c r="F884" s="43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42"/>
      <c r="C885" s="43"/>
      <c r="D885" s="43"/>
      <c r="E885" s="43"/>
      <c r="F885" s="43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42"/>
      <c r="C886" s="43"/>
      <c r="D886" s="43"/>
      <c r="E886" s="43"/>
      <c r="F886" s="43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42"/>
      <c r="C887" s="43"/>
      <c r="D887" s="43"/>
      <c r="E887" s="43"/>
      <c r="F887" s="43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42"/>
      <c r="C888" s="43"/>
      <c r="D888" s="43"/>
      <c r="E888" s="43"/>
      <c r="F888" s="43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42"/>
      <c r="C889" s="43"/>
      <c r="D889" s="43"/>
      <c r="E889" s="43"/>
      <c r="F889" s="43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42"/>
      <c r="C890" s="43"/>
      <c r="D890" s="43"/>
      <c r="E890" s="43"/>
      <c r="F890" s="43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42"/>
      <c r="C891" s="43"/>
      <c r="D891" s="43"/>
      <c r="E891" s="43"/>
      <c r="F891" s="43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42"/>
      <c r="C892" s="43"/>
      <c r="D892" s="43"/>
      <c r="E892" s="43"/>
      <c r="F892" s="43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42"/>
      <c r="C893" s="43"/>
      <c r="D893" s="43"/>
      <c r="E893" s="43"/>
      <c r="F893" s="43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42"/>
      <c r="C894" s="43"/>
      <c r="D894" s="43"/>
      <c r="E894" s="43"/>
      <c r="F894" s="43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42"/>
      <c r="C895" s="43"/>
      <c r="D895" s="43"/>
      <c r="E895" s="43"/>
      <c r="F895" s="43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42"/>
      <c r="C896" s="43"/>
      <c r="D896" s="43"/>
      <c r="E896" s="43"/>
      <c r="F896" s="43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42"/>
      <c r="C897" s="43"/>
      <c r="D897" s="43"/>
      <c r="E897" s="43"/>
      <c r="F897" s="43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42"/>
      <c r="C898" s="43"/>
      <c r="D898" s="43"/>
      <c r="E898" s="43"/>
      <c r="F898" s="43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42"/>
      <c r="C899" s="43"/>
      <c r="D899" s="43"/>
      <c r="E899" s="43"/>
      <c r="F899" s="43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42"/>
      <c r="C900" s="43"/>
      <c r="D900" s="43"/>
      <c r="E900" s="43"/>
      <c r="F900" s="43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42"/>
      <c r="C901" s="43"/>
      <c r="D901" s="43"/>
      <c r="E901" s="43"/>
      <c r="F901" s="43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42"/>
      <c r="C902" s="43"/>
      <c r="D902" s="43"/>
      <c r="E902" s="43"/>
      <c r="F902" s="43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42"/>
      <c r="C903" s="43"/>
      <c r="D903" s="43"/>
      <c r="E903" s="43"/>
      <c r="F903" s="43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42"/>
      <c r="C904" s="43"/>
      <c r="D904" s="43"/>
      <c r="E904" s="43"/>
      <c r="F904" s="43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42"/>
      <c r="C905" s="43"/>
      <c r="D905" s="43"/>
      <c r="E905" s="43"/>
      <c r="F905" s="43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42"/>
      <c r="C906" s="43"/>
      <c r="D906" s="43"/>
      <c r="E906" s="43"/>
      <c r="F906" s="43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42"/>
      <c r="C907" s="43"/>
      <c r="D907" s="43"/>
      <c r="E907" s="43"/>
      <c r="F907" s="43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42"/>
      <c r="C908" s="43"/>
      <c r="D908" s="43"/>
      <c r="E908" s="43"/>
      <c r="F908" s="43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42"/>
      <c r="C909" s="43"/>
      <c r="D909" s="43"/>
      <c r="E909" s="43"/>
      <c r="F909" s="43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42"/>
      <c r="C910" s="43"/>
      <c r="D910" s="43"/>
      <c r="E910" s="43"/>
      <c r="F910" s="43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42"/>
      <c r="C911" s="43"/>
      <c r="D911" s="43"/>
      <c r="E911" s="43"/>
      <c r="F911" s="43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42"/>
      <c r="C912" s="43"/>
      <c r="D912" s="43"/>
      <c r="E912" s="43"/>
      <c r="F912" s="43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42"/>
      <c r="C913" s="43"/>
      <c r="D913" s="43"/>
      <c r="E913" s="43"/>
      <c r="F913" s="43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42"/>
      <c r="C914" s="43"/>
      <c r="D914" s="43"/>
      <c r="E914" s="43"/>
      <c r="F914" s="43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42"/>
      <c r="C915" s="43"/>
      <c r="D915" s="43"/>
      <c r="E915" s="43"/>
      <c r="F915" s="43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42"/>
      <c r="C916" s="43"/>
      <c r="D916" s="43"/>
      <c r="E916" s="43"/>
      <c r="F916" s="43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42"/>
      <c r="C917" s="43"/>
      <c r="D917" s="43"/>
      <c r="E917" s="43"/>
      <c r="F917" s="43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42"/>
      <c r="C918" s="43"/>
      <c r="D918" s="43"/>
      <c r="E918" s="43"/>
      <c r="F918" s="43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42"/>
      <c r="C919" s="43"/>
      <c r="D919" s="43"/>
      <c r="E919" s="43"/>
      <c r="F919" s="43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42"/>
      <c r="C920" s="43"/>
      <c r="D920" s="43"/>
      <c r="E920" s="43"/>
      <c r="F920" s="43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42"/>
      <c r="C921" s="43"/>
      <c r="D921" s="43"/>
      <c r="E921" s="43"/>
      <c r="F921" s="43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42"/>
      <c r="C922" s="43"/>
      <c r="D922" s="43"/>
      <c r="E922" s="43"/>
      <c r="F922" s="43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42"/>
      <c r="C923" s="43"/>
      <c r="D923" s="43"/>
      <c r="E923" s="43"/>
      <c r="F923" s="43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42"/>
      <c r="C924" s="43"/>
      <c r="D924" s="43"/>
      <c r="E924" s="43"/>
      <c r="F924" s="43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42"/>
      <c r="C925" s="43"/>
      <c r="D925" s="43"/>
      <c r="E925" s="43"/>
      <c r="F925" s="43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42"/>
      <c r="C926" s="43"/>
      <c r="D926" s="43"/>
      <c r="E926" s="43"/>
      <c r="F926" s="43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42"/>
      <c r="C927" s="43"/>
      <c r="D927" s="43"/>
      <c r="E927" s="43"/>
      <c r="F927" s="43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42"/>
      <c r="C928" s="43"/>
      <c r="D928" s="43"/>
      <c r="E928" s="43"/>
      <c r="F928" s="43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42"/>
      <c r="C929" s="43"/>
      <c r="D929" s="43"/>
      <c r="E929" s="43"/>
      <c r="F929" s="43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42"/>
      <c r="C930" s="43"/>
      <c r="D930" s="43"/>
      <c r="E930" s="43"/>
      <c r="F930" s="43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42"/>
      <c r="C931" s="43"/>
      <c r="D931" s="43"/>
      <c r="E931" s="43"/>
      <c r="F931" s="43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42"/>
      <c r="C932" s="43"/>
      <c r="D932" s="43"/>
      <c r="E932" s="43"/>
      <c r="F932" s="43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42"/>
      <c r="C933" s="43"/>
      <c r="D933" s="43"/>
      <c r="E933" s="43"/>
      <c r="F933" s="43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42"/>
      <c r="C934" s="43"/>
      <c r="D934" s="43"/>
      <c r="E934" s="43"/>
      <c r="F934" s="43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42"/>
      <c r="C935" s="43"/>
      <c r="D935" s="43"/>
      <c r="E935" s="43"/>
      <c r="F935" s="43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42"/>
      <c r="C936" s="43"/>
      <c r="D936" s="43"/>
      <c r="E936" s="43"/>
      <c r="F936" s="43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42"/>
      <c r="C937" s="43"/>
      <c r="D937" s="43"/>
      <c r="E937" s="43"/>
      <c r="F937" s="43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42"/>
      <c r="C938" s="43"/>
      <c r="D938" s="43"/>
      <c r="E938" s="43"/>
      <c r="F938" s="43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42"/>
      <c r="C939" s="43"/>
      <c r="D939" s="43"/>
      <c r="E939" s="43"/>
      <c r="F939" s="43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42"/>
      <c r="C940" s="43"/>
      <c r="D940" s="43"/>
      <c r="E940" s="43"/>
      <c r="F940" s="43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42"/>
      <c r="C941" s="43"/>
      <c r="D941" s="43"/>
      <c r="E941" s="43"/>
      <c r="F941" s="43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42"/>
      <c r="C942" s="43"/>
      <c r="D942" s="43"/>
      <c r="E942" s="43"/>
      <c r="F942" s="43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42"/>
      <c r="C943" s="43"/>
      <c r="D943" s="43"/>
      <c r="E943" s="43"/>
      <c r="F943" s="43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42"/>
      <c r="C944" s="43"/>
      <c r="D944" s="43"/>
      <c r="E944" s="43"/>
      <c r="F944" s="43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42"/>
      <c r="C945" s="43"/>
      <c r="D945" s="43"/>
      <c r="E945" s="43"/>
      <c r="F945" s="43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42"/>
      <c r="C946" s="43"/>
      <c r="D946" s="43"/>
      <c r="E946" s="43"/>
      <c r="F946" s="43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42"/>
      <c r="C947" s="43"/>
      <c r="D947" s="43"/>
      <c r="E947" s="43"/>
      <c r="F947" s="43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42"/>
      <c r="C948" s="43"/>
      <c r="D948" s="43"/>
      <c r="E948" s="43"/>
      <c r="F948" s="43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42"/>
      <c r="C949" s="43"/>
      <c r="D949" s="43"/>
      <c r="E949" s="43"/>
      <c r="F949" s="43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42"/>
      <c r="C950" s="43"/>
      <c r="D950" s="43"/>
      <c r="E950" s="43"/>
      <c r="F950" s="43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42"/>
      <c r="C951" s="43"/>
      <c r="D951" s="43"/>
      <c r="E951" s="43"/>
      <c r="F951" s="43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42"/>
      <c r="C952" s="43"/>
      <c r="D952" s="43"/>
      <c r="E952" s="43"/>
      <c r="F952" s="43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42"/>
      <c r="C953" s="43"/>
      <c r="D953" s="43"/>
      <c r="E953" s="43"/>
      <c r="F953" s="43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42"/>
      <c r="C954" s="43"/>
      <c r="D954" s="43"/>
      <c r="E954" s="43"/>
      <c r="F954" s="43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42"/>
      <c r="C955" s="43"/>
      <c r="D955" s="43"/>
      <c r="E955" s="43"/>
      <c r="F955" s="43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42"/>
      <c r="C956" s="43"/>
      <c r="D956" s="43"/>
      <c r="E956" s="43"/>
      <c r="F956" s="43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42"/>
      <c r="C957" s="43"/>
      <c r="D957" s="43"/>
      <c r="E957" s="43"/>
      <c r="F957" s="43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42"/>
      <c r="C958" s="43"/>
      <c r="D958" s="43"/>
      <c r="E958" s="43"/>
      <c r="F958" s="43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42"/>
      <c r="C959" s="43"/>
      <c r="D959" s="43"/>
      <c r="E959" s="43"/>
      <c r="F959" s="43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42"/>
      <c r="C960" s="43"/>
      <c r="D960" s="43"/>
      <c r="E960" s="43"/>
      <c r="F960" s="43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42"/>
      <c r="C961" s="43"/>
      <c r="D961" s="43"/>
      <c r="E961" s="43"/>
      <c r="F961" s="43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42"/>
      <c r="C962" s="43"/>
      <c r="D962" s="43"/>
      <c r="E962" s="43"/>
      <c r="F962" s="43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42"/>
      <c r="C963" s="43"/>
      <c r="D963" s="43"/>
      <c r="E963" s="43"/>
      <c r="F963" s="43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42"/>
      <c r="C964" s="43"/>
      <c r="D964" s="43"/>
      <c r="E964" s="43"/>
      <c r="F964" s="43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42"/>
      <c r="C965" s="43"/>
      <c r="D965" s="43"/>
      <c r="E965" s="43"/>
      <c r="F965" s="43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42"/>
      <c r="C966" s="43"/>
      <c r="D966" s="43"/>
      <c r="E966" s="43"/>
      <c r="F966" s="43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42"/>
      <c r="C967" s="43"/>
      <c r="D967" s="43"/>
      <c r="E967" s="43"/>
      <c r="F967" s="43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42"/>
      <c r="C968" s="43"/>
      <c r="D968" s="43"/>
      <c r="E968" s="43"/>
      <c r="F968" s="43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42"/>
      <c r="C969" s="43"/>
      <c r="D969" s="43"/>
      <c r="E969" s="43"/>
      <c r="F969" s="43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42"/>
      <c r="C970" s="43"/>
      <c r="D970" s="43"/>
      <c r="E970" s="43"/>
      <c r="F970" s="43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42"/>
      <c r="C971" s="43"/>
      <c r="D971" s="43"/>
      <c r="E971" s="43"/>
      <c r="F971" s="43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42"/>
      <c r="C972" s="43"/>
      <c r="D972" s="43"/>
      <c r="E972" s="43"/>
      <c r="F972" s="43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42"/>
      <c r="C973" s="43"/>
      <c r="D973" s="43"/>
      <c r="E973" s="43"/>
      <c r="F973" s="43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42"/>
      <c r="C974" s="43"/>
      <c r="D974" s="43"/>
      <c r="E974" s="43"/>
      <c r="F974" s="43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42"/>
      <c r="C975" s="43"/>
      <c r="D975" s="43"/>
      <c r="E975" s="43"/>
      <c r="F975" s="43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42"/>
      <c r="C976" s="43"/>
      <c r="D976" s="43"/>
      <c r="E976" s="43"/>
      <c r="F976" s="43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42"/>
      <c r="C977" s="43"/>
      <c r="D977" s="43"/>
      <c r="E977" s="43"/>
      <c r="F977" s="43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42"/>
      <c r="C978" s="43"/>
      <c r="D978" s="43"/>
      <c r="E978" s="43"/>
      <c r="F978" s="43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42"/>
      <c r="C979" s="43"/>
      <c r="D979" s="43"/>
      <c r="E979" s="43"/>
      <c r="F979" s="43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42"/>
      <c r="C980" s="43"/>
      <c r="D980" s="43"/>
      <c r="E980" s="43"/>
      <c r="F980" s="43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42"/>
      <c r="C981" s="43"/>
      <c r="D981" s="43"/>
      <c r="E981" s="43"/>
      <c r="F981" s="43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42"/>
      <c r="C982" s="43"/>
      <c r="D982" s="43"/>
      <c r="E982" s="43"/>
      <c r="F982" s="43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42"/>
      <c r="C983" s="43"/>
      <c r="D983" s="43"/>
      <c r="E983" s="43"/>
      <c r="F983" s="43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42"/>
      <c r="C984" s="43"/>
      <c r="D984" s="43"/>
      <c r="E984" s="43"/>
      <c r="F984" s="43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42"/>
      <c r="C985" s="43"/>
      <c r="D985" s="43"/>
      <c r="E985" s="43"/>
      <c r="F985" s="43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42"/>
      <c r="C986" s="43"/>
      <c r="D986" s="43"/>
      <c r="E986" s="43"/>
      <c r="F986" s="43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42"/>
      <c r="C987" s="43"/>
      <c r="D987" s="43"/>
      <c r="E987" s="43"/>
      <c r="F987" s="43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42"/>
      <c r="C988" s="43"/>
      <c r="D988" s="43"/>
      <c r="E988" s="43"/>
      <c r="F988" s="43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42"/>
      <c r="C989" s="43"/>
      <c r="D989" s="43"/>
      <c r="E989" s="43"/>
      <c r="F989" s="43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42"/>
      <c r="C990" s="43"/>
      <c r="D990" s="43"/>
      <c r="E990" s="43"/>
      <c r="F990" s="43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42"/>
      <c r="C991" s="43"/>
      <c r="D991" s="43"/>
      <c r="E991" s="43"/>
      <c r="F991" s="43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42"/>
      <c r="C992" s="43"/>
      <c r="D992" s="43"/>
      <c r="E992" s="43"/>
      <c r="F992" s="43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42"/>
      <c r="C993" s="43"/>
      <c r="D993" s="43"/>
      <c r="E993" s="43"/>
      <c r="F993" s="43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42"/>
      <c r="C994" s="43"/>
      <c r="D994" s="43"/>
      <c r="E994" s="43"/>
      <c r="F994" s="43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42"/>
      <c r="C995" s="43"/>
      <c r="D995" s="43"/>
      <c r="E995" s="43"/>
      <c r="F995" s="43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42"/>
      <c r="C996" s="43"/>
      <c r="D996" s="43"/>
      <c r="E996" s="43"/>
      <c r="F996" s="43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42"/>
      <c r="C997" s="43"/>
      <c r="D997" s="43"/>
      <c r="E997" s="43"/>
      <c r="F997" s="43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42"/>
      <c r="C998" s="43"/>
      <c r="D998" s="43"/>
      <c r="E998" s="43"/>
      <c r="F998" s="43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42"/>
      <c r="C999" s="43"/>
      <c r="D999" s="43"/>
      <c r="E999" s="43"/>
      <c r="F999" s="43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42"/>
      <c r="C1000" s="43"/>
      <c r="D1000" s="43"/>
      <c r="E1000" s="43"/>
      <c r="F1000" s="43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75" customHeight="1">
      <c r="A1001" s="10"/>
      <c r="B1001" s="42"/>
      <c r="C1001" s="43"/>
      <c r="D1001" s="43"/>
      <c r="E1001" s="43"/>
      <c r="F1001" s="43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2.75" customHeight="1">
      <c r="A1002" s="10"/>
      <c r="B1002" s="42"/>
      <c r="C1002" s="43"/>
      <c r="D1002" s="43"/>
      <c r="E1002" s="43"/>
      <c r="F1002" s="43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t="12.75" customHeight="1">
      <c r="A1003" s="10"/>
      <c r="B1003" s="42"/>
      <c r="C1003" s="43"/>
      <c r="D1003" s="43"/>
      <c r="E1003" s="43"/>
      <c r="F1003" s="43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ht="12.75" customHeight="1">
      <c r="A1004" s="10"/>
      <c r="B1004" s="42"/>
      <c r="C1004" s="43"/>
      <c r="D1004" s="43"/>
      <c r="E1004" s="43"/>
      <c r="F1004" s="43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ht="12.75" customHeight="1">
      <c r="A1005" s="10"/>
      <c r="B1005" s="42"/>
      <c r="C1005" s="43"/>
      <c r="D1005" s="43"/>
      <c r="E1005" s="43"/>
      <c r="F1005" s="43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ht="12.75" customHeight="1">
      <c r="A1006" s="10"/>
      <c r="B1006" s="42"/>
      <c r="C1006" s="43"/>
      <c r="D1006" s="43"/>
      <c r="E1006" s="43"/>
      <c r="F1006" s="43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ht="12.75" customHeight="1">
      <c r="A1007" s="10"/>
      <c r="B1007" s="42"/>
      <c r="C1007" s="43"/>
      <c r="D1007" s="43"/>
      <c r="E1007" s="43"/>
      <c r="F1007" s="43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ht="12.75" customHeight="1">
      <c r="A1008" s="10"/>
      <c r="B1008" s="42"/>
      <c r="C1008" s="43"/>
      <c r="D1008" s="43"/>
      <c r="E1008" s="43"/>
      <c r="F1008" s="43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ht="12.75" customHeight="1">
      <c r="A1009" s="10"/>
      <c r="B1009" s="42"/>
      <c r="C1009" s="43"/>
      <c r="D1009" s="43"/>
      <c r="E1009" s="43"/>
      <c r="F1009" s="43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ht="12.75" customHeight="1">
      <c r="A1010" s="10"/>
      <c r="B1010" s="42"/>
      <c r="C1010" s="43"/>
      <c r="D1010" s="43"/>
      <c r="E1010" s="43"/>
      <c r="F1010" s="43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ht="12.75" customHeight="1">
      <c r="A1011" s="10"/>
      <c r="B1011" s="42"/>
      <c r="C1011" s="43"/>
      <c r="D1011" s="43"/>
      <c r="E1011" s="43"/>
      <c r="F1011" s="43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ht="12.75" customHeight="1">
      <c r="A1012" s="10"/>
      <c r="B1012" s="42"/>
      <c r="C1012" s="43"/>
      <c r="D1012" s="43"/>
      <c r="E1012" s="43"/>
      <c r="F1012" s="43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ht="12.75" customHeight="1">
      <c r="A1013" s="10"/>
      <c r="B1013" s="42"/>
      <c r="C1013" s="43"/>
      <c r="D1013" s="43"/>
      <c r="E1013" s="43"/>
      <c r="F1013" s="43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ht="12.75" customHeight="1">
      <c r="A1014" s="10"/>
      <c r="B1014" s="42"/>
      <c r="C1014" s="43"/>
      <c r="D1014" s="43"/>
      <c r="E1014" s="43"/>
      <c r="F1014" s="43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</sheetData>
  <mergeCells count="6">
    <mergeCell ref="B3:C3"/>
    <mergeCell ref="D3:F3"/>
    <mergeCell ref="B4:C4"/>
    <mergeCell ref="D4:F4"/>
    <mergeCell ref="B5:C5"/>
    <mergeCell ref="D5:F5"/>
  </mergeCells>
  <hyperlinks>
    <hyperlink display="Authentication" location="Authentication!A1" ref="D9"/>
    <hyperlink display="Authentication" location="Authentication!A1" ref="D10"/>
    <hyperlink display="Authentication" location="Authentication!A1" ref="D11"/>
    <hyperlink display="Authentication" location="Authentication!A1" ref="D12"/>
    <hyperlink display="Organization" location="Organization!A1" ref="D13"/>
    <hyperlink display="Organization" location="Organization!A1" ref="D14"/>
    <hyperlink display="Organization" location="Organization!A1" ref="D15"/>
    <hyperlink display="Organization" location="Organization!A1" ref="D16"/>
    <hyperlink display="Organization" location="Organization!A1" ref="D17"/>
    <hyperlink display="Organization" location="Organization!A1" ref="D18"/>
    <hyperlink display="Organization" location="Organization!A1" ref="D19"/>
    <hyperlink display="Organization" location="Organization!A1" ref="D20"/>
    <hyperlink display="Organization" location="Organization!A1" ref="D21"/>
    <hyperlink display="Organization" location="Organization!A1" ref="D22"/>
    <hyperlink display="Organization" location="Organization!A1" ref="D23"/>
    <hyperlink display="Donation" location="Donation!A1" ref="D24"/>
    <hyperlink display="Donation" location="Donation!A1" ref="D25"/>
    <hyperlink display="Donation" location="Donation!A1" ref="D26"/>
    <hyperlink display="Donation" location="Donation!A1" ref="D27"/>
    <hyperlink display="Donation" location="Donation!A1" ref="D28"/>
    <hyperlink display="Donation" location="Donation!A1" ref="D29"/>
    <hyperlink display="Donation" location="Donation!A1" ref="D30"/>
    <hyperlink display="Wallet" location="Wallet!A1" ref="D31"/>
    <hyperlink display="Wallet" location="Wallet!A1" ref="D32"/>
    <hyperlink display="Wallet" location="Wallet!A1" ref="D33"/>
    <hyperlink display="Wallet" location="Wallet!A1" ref="D34"/>
    <hyperlink display="Wallet" location="Wallet!A1" ref="D35"/>
    <hyperlink display="Wallet" location="Wallet!A1" ref="D36"/>
    <hyperlink display="Wallet" location="Wallet!A1" ref="D37"/>
    <hyperlink display="IngredientRequest" location="IngredientRequest!A1" ref="D38"/>
    <hyperlink display="IngredientRequest" location="IngredientRequest!A1" ref="D39"/>
    <hyperlink display="OperationRequest" location="OperationRequest!A1" ref="D40"/>
    <hyperlink display="OperationRequest" location="OperationRequest!A1" ref="D41"/>
    <hyperlink display="OperationRequest" location="OperationRequest!A1" ref="D42"/>
    <hyperlink display="MealBatchRequest" location="MealBatchRequest!A1" ref="D43"/>
    <hyperlink display="MealBatchRequest" location="MealBatchRequest!A1" ref="D44"/>
    <hyperlink display="MealBatchRequest" location="MealBatchRequest!A1" ref="D45"/>
    <hyperlink display="MealBatchRequest" location="MealBatchRequest!A1" ref="D46"/>
    <hyperlink display="DeliveryTaskRequest" location="DeliveryTaskRequest!A1" ref="D47"/>
    <hyperlink display="DeliveryTaskRequest" location="DeliveryTaskRequest!A1" ref="D48"/>
    <hyperlink display="InflowTransaction" location="InflowTransaction!A1" ref="D49"/>
    <hyperlink display="InflowTransaction" location="InflowTransaction!A1" ref="D50"/>
    <hyperlink display="InflowTransaction" location="InflowTransaction!A1" ref="D51"/>
    <hyperlink display="InflowTransaction" location="InflowTransaction!A1" ref="D52"/>
    <hyperlink display="InflowTransaction" location="InflowTransaction!A1" ref="D53"/>
    <hyperlink display="InflowTransaction" location="InflowTransaction!A1" ref="D54"/>
    <hyperlink display="Campaign" location="Campaign!A1" ref="D55"/>
    <hyperlink display="Campaign" location="Campaign!A1" ref="D56"/>
    <hyperlink display="Campaign" location="Campaign!A1" ref="D57"/>
    <hyperlink display="Campaign" location="Campaign!A1" ref="D58"/>
    <hyperlink display="Campaign" location="Campaign!A1" ref="D59"/>
    <hyperlink display="Campaign" location="Campaign!A1" ref="D60"/>
    <hyperlink display="Campaign" location="Campaign!A1" ref="D61"/>
    <hyperlink display="Campaign" location="Campaign!A1" ref="D62"/>
    <hyperlink display="Campaign" location="Campaign!A1" ref="D63"/>
    <hyperlink display="Campaign" location="Campaign!A1" ref="D64"/>
    <hyperlink display="Campaign" location="Campaign!A1" ref="D65"/>
    <hyperlink display="Campaign" location="Campaign!A1" ref="D66"/>
    <hyperlink display="Campaign" location="Campaign!A1" ref="D67"/>
    <hyperlink display="Notification" location="Notification!A1" ref="D68"/>
    <hyperlink display="Notification" location="Notification!A1" ref="D69"/>
    <hyperlink display="Notification" location="Notification!A1" ref="D70"/>
    <hyperlink display="SystemConfig" location="SystemConfig!A1" ref="D71"/>
    <hyperlink display="SystemConfig" location="SystemConfig!A1" ref="D72"/>
    <hyperlink display="SystemConfig" location="SystemConfig!A1" ref="D73"/>
    <hyperlink display="ExpenseProof" location="ExpenseProof!A1" ref="D74"/>
    <hyperlink display="ExpenseProof" location="ExpenseProof!A1" ref="D75"/>
    <hyperlink display="ExpenseProof" location="ExpenseProof!A1" ref="D76"/>
    <hyperlink display="ExpenseProof" location="ExpenseProof!A1" ref="D77"/>
    <hyperlink display="ExpenseProof" location="ExpenseProof!A1" ref="D78"/>
    <hyperlink display="ExpenseProof" location="ExpenseProof!A1" ref="D79"/>
    <hyperlink display="Profile" location="Profile!A1" ref="D80"/>
    <hyperlink display="Profile" location="Profile!A1" ref="D81"/>
    <hyperlink display="Profile" location="Profile!A1" ref="D82"/>
    <hyperlink display="Profile" location="Profile!A1" ref="D83"/>
    <hyperlink display="Profile" location="Profile!A1" ref="D84"/>
    <hyperlink display="CampaignCategory" location="CampaignCategory!A1" ref="D85"/>
    <hyperlink display="CampaignCategory" location="CampaignCategory!A1" ref="D86"/>
    <hyperlink display="CampaignCategory" location="CampaignCategory!A1" ref="D87"/>
    <hyperlink display="CampaignCategory" location="CampaignCategory!A1" ref="D88"/>
  </hyperlinks>
  <printOptions/>
  <pageMargins bottom="1.1506944444444445" footer="0.0" header="0.0" left="0.7479166666666667" right="0.7479166666666667" top="0.9840277777777778"/>
  <pageSetup paperSize="9"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8.38"/>
    <col customWidth="1" min="3" max="3" width="19.38"/>
    <col customWidth="1" min="4" max="6" width="11.63"/>
    <col customWidth="1" min="7" max="7" width="9.0"/>
    <col customWidth="1" min="8" max="8" width="35.5"/>
    <col customWidth="1" min="9" max="26" width="9.0"/>
  </cols>
  <sheetData>
    <row r="1" ht="25.5" customHeight="1">
      <c r="A1" s="10"/>
      <c r="B1" s="79" t="s">
        <v>128</v>
      </c>
      <c r="C1" s="80"/>
      <c r="D1" s="80"/>
      <c r="E1" s="80"/>
      <c r="F1" s="80"/>
      <c r="G1" s="80"/>
      <c r="H1" s="81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82"/>
      <c r="B2" s="82"/>
      <c r="C2" s="10"/>
      <c r="D2" s="10"/>
      <c r="E2" s="10"/>
      <c r="F2" s="10"/>
      <c r="G2" s="10"/>
      <c r="H2" s="83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10"/>
      <c r="B3" s="84" t="s">
        <v>1</v>
      </c>
      <c r="C3" s="49" t="s">
        <v>25</v>
      </c>
      <c r="D3" s="6"/>
      <c r="E3" s="85" t="s">
        <v>3</v>
      </c>
      <c r="F3" s="6"/>
      <c r="G3" s="86"/>
      <c r="H3" s="87" t="s">
        <v>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10"/>
      <c r="B4" s="84" t="s">
        <v>5</v>
      </c>
      <c r="C4" s="49" t="s">
        <v>6</v>
      </c>
      <c r="D4" s="6"/>
      <c r="E4" s="85" t="s">
        <v>129</v>
      </c>
      <c r="F4" s="6"/>
      <c r="G4" s="86"/>
      <c r="H4" s="88" t="s">
        <v>130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10"/>
      <c r="B5" s="89" t="s">
        <v>9</v>
      </c>
      <c r="C5" s="90" t="str">
        <f>C4&amp;"_"&amp;"Test Report"&amp;"_"&amp;"v1.1"</f>
        <v>FA25SE52_Test Report_v1.1</v>
      </c>
      <c r="D5" s="6"/>
      <c r="E5" s="85" t="s">
        <v>7</v>
      </c>
      <c r="F5" s="6"/>
      <c r="G5" s="86"/>
      <c r="H5" s="91" t="s">
        <v>17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75" customHeight="1">
      <c r="A6" s="82"/>
      <c r="B6" s="89" t="s">
        <v>131</v>
      </c>
      <c r="C6" s="92"/>
      <c r="D6" s="5"/>
      <c r="E6" s="5"/>
      <c r="F6" s="5"/>
      <c r="G6" s="5"/>
      <c r="H6" s="6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82"/>
      <c r="B7" s="93"/>
      <c r="C7" s="94"/>
      <c r="D7" s="10"/>
      <c r="E7" s="10"/>
      <c r="F7" s="10"/>
      <c r="G7" s="10"/>
      <c r="H7" s="8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0"/>
      <c r="B8" s="93"/>
      <c r="C8" s="94"/>
      <c r="D8" s="10"/>
      <c r="E8" s="10"/>
      <c r="F8" s="10"/>
      <c r="G8" s="10"/>
      <c r="H8" s="83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0"/>
      <c r="B9" s="95"/>
      <c r="C9" s="95"/>
      <c r="D9" s="95"/>
      <c r="E9" s="95"/>
      <c r="F9" s="95"/>
      <c r="G9" s="95"/>
      <c r="H9" s="95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62"/>
      <c r="B10" s="96" t="s">
        <v>28</v>
      </c>
      <c r="C10" s="97" t="s">
        <v>132</v>
      </c>
      <c r="D10" s="98" t="s">
        <v>133</v>
      </c>
      <c r="E10" s="97" t="s">
        <v>134</v>
      </c>
      <c r="F10" s="97" t="s">
        <v>135</v>
      </c>
      <c r="G10" s="97" t="s">
        <v>136</v>
      </c>
      <c r="H10" s="99" t="s">
        <v>137</v>
      </c>
      <c r="I10" s="68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62"/>
      <c r="B11" s="100">
        <v>1.0</v>
      </c>
      <c r="C11" s="101" t="str">
        <f>Authentication!B2</f>
        <v>Authentication</v>
      </c>
      <c r="D11" s="102">
        <f>Authentication!B6</f>
        <v>15</v>
      </c>
      <c r="E11" s="102">
        <f>Authentication!C6</f>
        <v>0</v>
      </c>
      <c r="F11" s="102">
        <f>Authentication!D6</f>
        <v>0</v>
      </c>
      <c r="G11" s="102">
        <f>Authentication!E6</f>
        <v>0</v>
      </c>
      <c r="H11" s="103">
        <f>Authentication!B4</f>
        <v>15</v>
      </c>
      <c r="I11" s="68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62"/>
      <c r="B12" s="100">
        <v>2.0</v>
      </c>
      <c r="C12" s="101" t="str">
        <f>Organization!B2</f>
        <v>Organization</v>
      </c>
      <c r="D12" s="102">
        <f>Organization!B6</f>
        <v>10</v>
      </c>
      <c r="E12" s="102">
        <f>Organization!C6</f>
        <v>0</v>
      </c>
      <c r="F12" s="102">
        <f>Organization!D6</f>
        <v>0</v>
      </c>
      <c r="G12" s="102">
        <f>Organization!E6</f>
        <v>0</v>
      </c>
      <c r="H12" s="103">
        <f>Organization!B4</f>
        <v>10</v>
      </c>
      <c r="I12" s="68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62"/>
      <c r="B13" s="104">
        <v>3.0</v>
      </c>
      <c r="C13" s="105" t="str">
        <f>Donation!B2</f>
        <v>Donation</v>
      </c>
      <c r="D13" s="106">
        <f>Donation!B6</f>
        <v>12</v>
      </c>
      <c r="E13" s="106">
        <f>Donation!C6</f>
        <v>0</v>
      </c>
      <c r="F13" s="106">
        <f>Donation!D6</f>
        <v>0</v>
      </c>
      <c r="G13" s="106">
        <f>Donation!E6</f>
        <v>0</v>
      </c>
      <c r="H13" s="107">
        <f>Donation!B4</f>
        <v>12</v>
      </c>
      <c r="I13" s="68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62"/>
      <c r="B14" s="104">
        <v>4.0</v>
      </c>
      <c r="C14" s="105" t="str">
        <f>Wallet!B2</f>
        <v>Wallet</v>
      </c>
      <c r="D14" s="106">
        <f>Wallet!B6</f>
        <v>9</v>
      </c>
      <c r="E14" s="106">
        <f>Wallet!C6</f>
        <v>0</v>
      </c>
      <c r="F14" s="106">
        <f>Wallet!D6</f>
        <v>0</v>
      </c>
      <c r="G14" s="106">
        <f>Wallet!E6</f>
        <v>0</v>
      </c>
      <c r="H14" s="107">
        <f>Wallet!B4</f>
        <v>9</v>
      </c>
      <c r="I14" s="68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62"/>
      <c r="B15" s="104">
        <v>5.0</v>
      </c>
      <c r="C15" s="105" t="str">
        <f>IngredientRequest!B2</f>
        <v>Ingredient Request</v>
      </c>
      <c r="D15" s="106">
        <f>IngredientRequest!B6</f>
        <v>20</v>
      </c>
      <c r="E15" s="106">
        <f>IngredientRequest!C6</f>
        <v>0</v>
      </c>
      <c r="F15" s="106">
        <f>IngredientRequest!D6</f>
        <v>0</v>
      </c>
      <c r="G15" s="106">
        <f>IngredientRequest!E6</f>
        <v>0</v>
      </c>
      <c r="H15" s="107">
        <f>IngredientRequest!B4</f>
        <v>20</v>
      </c>
      <c r="I15" s="68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62"/>
      <c r="B16" s="104">
        <v>6.0</v>
      </c>
      <c r="C16" s="105" t="str">
        <f>OperationRequest!B2</f>
        <v>Operation Request</v>
      </c>
      <c r="D16" s="106">
        <f>OperationRequest!B6</f>
        <v>22</v>
      </c>
      <c r="E16" s="106">
        <f>OperationRequest!C6</f>
        <v>0</v>
      </c>
      <c r="F16" s="106">
        <f>OperationRequest!D6</f>
        <v>0</v>
      </c>
      <c r="G16" s="106">
        <f>OperationRequest!E6</f>
        <v>0</v>
      </c>
      <c r="H16" s="107">
        <f>OperationRequest!B4</f>
        <v>22</v>
      </c>
      <c r="I16" s="68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62"/>
      <c r="B17" s="104">
        <v>7.0</v>
      </c>
      <c r="C17" s="105" t="str">
        <f>MealBatchRequest!B2</f>
        <v>Meal Batch Request</v>
      </c>
      <c r="D17" s="106">
        <f>MealBatchRequest!B6</f>
        <v>20</v>
      </c>
      <c r="E17" s="106">
        <f>MealBatchRequest!C6</f>
        <v>0</v>
      </c>
      <c r="F17" s="106">
        <f>MealBatchRequest!D6</f>
        <v>0</v>
      </c>
      <c r="G17" s="106">
        <f>MealBatchRequest!E6</f>
        <v>0</v>
      </c>
      <c r="H17" s="107">
        <f>MealBatchRequest!B4</f>
        <v>20</v>
      </c>
      <c r="I17" s="68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62"/>
      <c r="B18" s="104">
        <v>8.0</v>
      </c>
      <c r="C18" s="105" t="str">
        <f>DeliveryTaskRequest!B2</f>
        <v>Delivery Task Request</v>
      </c>
      <c r="D18" s="106">
        <f>DeliveryTaskRequest!B6</f>
        <v>18</v>
      </c>
      <c r="E18" s="106">
        <f>DeliveryTaskRequest!C6</f>
        <v>0</v>
      </c>
      <c r="F18" s="106">
        <f>DeliveryTaskRequest!D6</f>
        <v>0</v>
      </c>
      <c r="G18" s="106">
        <f>DeliveryTaskRequest!E6</f>
        <v>0</v>
      </c>
      <c r="H18" s="107">
        <f>DeliveryTaskRequest!B4</f>
        <v>18</v>
      </c>
      <c r="I18" s="68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62"/>
      <c r="B19" s="104">
        <v>9.0</v>
      </c>
      <c r="C19" s="105" t="str">
        <f>InflowTransaction!B2</f>
        <v>Inflow Transaction</v>
      </c>
      <c r="D19" s="106">
        <f>InflowTransaction!B6</f>
        <v>10</v>
      </c>
      <c r="E19" s="106">
        <f>InflowTransaction!C6</f>
        <v>0</v>
      </c>
      <c r="F19" s="106">
        <f>InflowTransaction!D6</f>
        <v>0</v>
      </c>
      <c r="G19" s="106">
        <f>InflowTransaction!E6</f>
        <v>0</v>
      </c>
      <c r="H19" s="107">
        <f>InflowTransaction!B4</f>
        <v>10</v>
      </c>
      <c r="I19" s="68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62"/>
      <c r="B20" s="104">
        <v>10.0</v>
      </c>
      <c r="C20" s="105" t="str">
        <f>Campaign!B2</f>
        <v>Campaign</v>
      </c>
      <c r="D20" s="106">
        <f>Campaign!B6</f>
        <v>21</v>
      </c>
      <c r="E20" s="106">
        <f>Campaign!C6</f>
        <v>0</v>
      </c>
      <c r="F20" s="106">
        <f>Campaign!D6</f>
        <v>0</v>
      </c>
      <c r="G20" s="106">
        <f>Campaign!E6</f>
        <v>0</v>
      </c>
      <c r="H20" s="107">
        <f>Campaign!B4</f>
        <v>21</v>
      </c>
      <c r="I20" s="68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62"/>
      <c r="B21" s="108">
        <v>11.0</v>
      </c>
      <c r="C21" s="109" t="s">
        <v>103</v>
      </c>
      <c r="D21" s="110">
        <f>Notification!B6</f>
        <v>8</v>
      </c>
      <c r="E21" s="110">
        <f>Notification!C6</f>
        <v>0</v>
      </c>
      <c r="F21" s="110">
        <f>Notification!D6</f>
        <v>0</v>
      </c>
      <c r="G21" s="110">
        <f>Notification!E6</f>
        <v>0</v>
      </c>
      <c r="H21" s="111">
        <f>Notification!B4</f>
        <v>8</v>
      </c>
      <c r="I21" s="68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62"/>
      <c r="B22" s="108">
        <v>12.0</v>
      </c>
      <c r="C22" s="109" t="s">
        <v>138</v>
      </c>
      <c r="D22" s="110">
        <f>SystemConfig!B7</f>
        <v>6</v>
      </c>
      <c r="E22" s="110">
        <f>SystemConfig!C7</f>
        <v>0</v>
      </c>
      <c r="F22" s="110">
        <f>SystemConfig!D7</f>
        <v>0</v>
      </c>
      <c r="G22" s="110">
        <f>SystemConfig!E7</f>
        <v>0</v>
      </c>
      <c r="H22" s="111">
        <f>SystemConfig!B4</f>
        <v>6</v>
      </c>
      <c r="I22" s="6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62"/>
      <c r="B23" s="108">
        <v>13.0</v>
      </c>
      <c r="C23" s="109" t="s">
        <v>139</v>
      </c>
      <c r="D23" s="110">
        <f>ExpenseProof!B7</f>
        <v>12</v>
      </c>
      <c r="E23" s="110">
        <f>ExpenseProof!C7</f>
        <v>0</v>
      </c>
      <c r="F23" s="110">
        <f>ExpenseProof!D7</f>
        <v>0</v>
      </c>
      <c r="G23" s="110">
        <f>ExpenseProof!E7</f>
        <v>0</v>
      </c>
      <c r="H23" s="111">
        <f>ExpenseProof!B4</f>
        <v>12</v>
      </c>
      <c r="I23" s="68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62"/>
      <c r="B24" s="108">
        <v>14.0</v>
      </c>
      <c r="C24" s="109" t="s">
        <v>118</v>
      </c>
      <c r="D24" s="110">
        <f>Profile!B7</f>
        <v>8</v>
      </c>
      <c r="E24" s="110">
        <f>Profile!C7</f>
        <v>0</v>
      </c>
      <c r="F24" s="110">
        <f>Profile!D7</f>
        <v>0</v>
      </c>
      <c r="G24" s="110">
        <f>Profile!E7</f>
        <v>0</v>
      </c>
      <c r="H24" s="111">
        <f>Profile!B4</f>
        <v>8</v>
      </c>
      <c r="I24" s="68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62"/>
      <c r="B25" s="108">
        <v>15.0</v>
      </c>
      <c r="C25" s="109" t="s">
        <v>140</v>
      </c>
      <c r="D25" s="110">
        <f>CampaignCategory!B7</f>
        <v>9</v>
      </c>
      <c r="E25" s="110">
        <f>CampaignCategory!C7</f>
        <v>0</v>
      </c>
      <c r="F25" s="110">
        <f>CampaignCategory!D7</f>
        <v>0</v>
      </c>
      <c r="G25" s="110">
        <f>CampaignCategory!E7</f>
        <v>0</v>
      </c>
      <c r="H25" s="111">
        <f>CampaignCategory!B4</f>
        <v>9</v>
      </c>
      <c r="I25" s="68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62"/>
      <c r="B26" s="112"/>
      <c r="C26" s="113" t="s">
        <v>141</v>
      </c>
      <c r="D26" s="114">
        <f t="shared" ref="D26:H26" si="1">SUM(D11:D25)</f>
        <v>200</v>
      </c>
      <c r="E26" s="114">
        <f t="shared" si="1"/>
        <v>0</v>
      </c>
      <c r="F26" s="114">
        <f t="shared" si="1"/>
        <v>0</v>
      </c>
      <c r="G26" s="114">
        <f t="shared" si="1"/>
        <v>0</v>
      </c>
      <c r="H26" s="115">
        <f t="shared" si="1"/>
        <v>200</v>
      </c>
      <c r="I26" s="68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16"/>
      <c r="C27" s="76"/>
      <c r="D27" s="117"/>
      <c r="E27" s="118"/>
      <c r="F27" s="118"/>
      <c r="G27" s="118"/>
      <c r="H27" s="118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8" t="s">
        <v>142</v>
      </c>
      <c r="D28" s="10"/>
      <c r="E28" s="119">
        <f>(D26+E26)*100/(H26-G26)</f>
        <v>100</v>
      </c>
      <c r="F28" s="10" t="s">
        <v>143</v>
      </c>
      <c r="G28" s="10"/>
      <c r="H28" s="12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8" t="s">
        <v>144</v>
      </c>
      <c r="D29" s="10"/>
      <c r="E29" s="119">
        <f>D26*100/(H26-G26)</f>
        <v>100</v>
      </c>
      <c r="F29" s="10" t="s">
        <v>143</v>
      </c>
      <c r="G29" s="10"/>
      <c r="H29" s="12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2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t="12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ht="12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ht="12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ht="12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ht="12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ht="12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ht="12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ht="12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ht="12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ht="12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9840277777777777" footer="0.0" header="0.0" left="0.7479166666666667" right="0.7479166666666667" top="0.9840277777777778"/>
  <pageSetup orientation="landscape"/>
  <headerFoot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5.5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75" outlineLevel="1"/>
    <col customWidth="1" min="9" max="9" width="9.38"/>
    <col customWidth="1" min="10" max="10" width="10.63" outlineLevel="1"/>
    <col customWidth="1" min="11" max="11" width="10.0" outlineLevel="1"/>
    <col customWidth="1" min="12" max="12" width="9.38"/>
    <col customWidth="1" min="13" max="13" width="10.63" outlineLevel="1"/>
    <col customWidth="1" min="14" max="14" width="9.5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2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22" t="s">
        <v>145</v>
      </c>
      <c r="B2" s="123" t="s">
        <v>34</v>
      </c>
      <c r="C2" s="124"/>
      <c r="D2" s="124"/>
      <c r="E2" s="125"/>
      <c r="F2" s="126"/>
      <c r="G2" s="127"/>
      <c r="H2" s="50"/>
      <c r="I2" s="126"/>
      <c r="J2" s="127"/>
      <c r="K2" s="50"/>
      <c r="L2" s="126"/>
      <c r="M2" s="127"/>
      <c r="N2" s="50"/>
      <c r="O2" s="50"/>
      <c r="P2" s="50"/>
      <c r="Q2" s="128"/>
      <c r="R2" s="129" t="s">
        <v>133</v>
      </c>
      <c r="S2" s="129"/>
      <c r="T2" s="129"/>
      <c r="U2" s="129"/>
      <c r="V2" s="129"/>
      <c r="W2" s="129"/>
      <c r="X2" s="129"/>
      <c r="Y2" s="129"/>
      <c r="Z2" s="129"/>
    </row>
    <row r="3" ht="12.75" customHeight="1">
      <c r="A3" s="130" t="s">
        <v>146</v>
      </c>
      <c r="B3" s="131"/>
      <c r="C3" s="5"/>
      <c r="D3" s="5"/>
      <c r="E3" s="132"/>
      <c r="F3" s="126"/>
      <c r="G3" s="127"/>
      <c r="H3" s="50"/>
      <c r="I3" s="126"/>
      <c r="J3" s="127"/>
      <c r="K3" s="50"/>
      <c r="L3" s="126"/>
      <c r="M3" s="127"/>
      <c r="N3" s="50"/>
      <c r="O3" s="50"/>
      <c r="P3" s="50"/>
      <c r="Q3" s="128"/>
      <c r="R3" s="129" t="s">
        <v>134</v>
      </c>
      <c r="S3" s="129"/>
      <c r="T3" s="129"/>
      <c r="U3" s="129"/>
      <c r="V3" s="129"/>
      <c r="W3" s="129"/>
      <c r="X3" s="129"/>
      <c r="Y3" s="129"/>
      <c r="Z3" s="129"/>
    </row>
    <row r="4" ht="18.0" customHeight="1">
      <c r="A4" s="130" t="s">
        <v>147</v>
      </c>
      <c r="B4" s="133">
        <f>COUNTIF(A11:A319, "AU*")</f>
        <v>15</v>
      </c>
      <c r="C4" s="5"/>
      <c r="D4" s="5"/>
      <c r="E4" s="132"/>
      <c r="F4" s="126"/>
      <c r="G4" s="127"/>
      <c r="H4" s="50"/>
      <c r="I4" s="126"/>
      <c r="J4" s="127"/>
      <c r="K4" s="50"/>
      <c r="L4" s="126"/>
      <c r="M4" s="127"/>
      <c r="N4" s="50"/>
      <c r="O4" s="50"/>
      <c r="P4" s="50"/>
      <c r="Q4" s="128"/>
      <c r="R4" s="129" t="s">
        <v>135</v>
      </c>
      <c r="S4" s="129"/>
      <c r="T4" s="129"/>
      <c r="U4" s="129"/>
      <c r="V4" s="129"/>
      <c r="W4" s="129"/>
      <c r="X4" s="129"/>
      <c r="Y4" s="129"/>
      <c r="Z4" s="129"/>
    </row>
    <row r="5" ht="19.5" customHeight="1">
      <c r="A5" s="134" t="s">
        <v>148</v>
      </c>
      <c r="B5" s="135" t="s">
        <v>133</v>
      </c>
      <c r="C5" s="135" t="s">
        <v>134</v>
      </c>
      <c r="D5" s="135" t="s">
        <v>135</v>
      </c>
      <c r="E5" s="136" t="s">
        <v>136</v>
      </c>
      <c r="F5" s="137"/>
      <c r="G5" s="137"/>
      <c r="H5" s="138"/>
      <c r="I5" s="137"/>
      <c r="J5" s="137"/>
      <c r="K5" s="138"/>
      <c r="L5" s="137"/>
      <c r="M5" s="137"/>
      <c r="N5" s="138"/>
      <c r="O5" s="138"/>
      <c r="P5" s="138"/>
      <c r="Q5" s="139"/>
      <c r="R5" s="129" t="s">
        <v>136</v>
      </c>
      <c r="S5" s="129"/>
      <c r="T5" s="129"/>
      <c r="U5" s="129"/>
      <c r="V5" s="129"/>
      <c r="W5" s="129"/>
      <c r="X5" s="129"/>
      <c r="Y5" s="129"/>
      <c r="Z5" s="129"/>
    </row>
    <row r="6" ht="15.0" customHeight="1">
      <c r="A6" s="134" t="s">
        <v>149</v>
      </c>
      <c r="B6" s="140">
        <f t="shared" ref="B6:E6" si="1">COUNTIF($F10:$F1007,B5)</f>
        <v>15</v>
      </c>
      <c r="C6" s="140">
        <f t="shared" si="1"/>
        <v>0</v>
      </c>
      <c r="D6" s="140">
        <f t="shared" si="1"/>
        <v>0</v>
      </c>
      <c r="E6" s="141">
        <f t="shared" si="1"/>
        <v>0</v>
      </c>
      <c r="F6" s="142"/>
      <c r="G6" s="142"/>
      <c r="H6" s="138"/>
      <c r="I6" s="142"/>
      <c r="J6" s="142"/>
      <c r="K6" s="138"/>
      <c r="L6" s="142"/>
      <c r="M6" s="142"/>
      <c r="N6" s="138"/>
      <c r="O6" s="138"/>
      <c r="P6" s="138"/>
      <c r="Q6" s="139"/>
      <c r="R6" s="129"/>
      <c r="S6" s="129"/>
      <c r="T6" s="129"/>
      <c r="U6" s="129"/>
      <c r="V6" s="129"/>
      <c r="W6" s="129"/>
      <c r="X6" s="129"/>
      <c r="Y6" s="129"/>
      <c r="Z6" s="129"/>
    </row>
    <row r="7" ht="15.0" customHeight="1">
      <c r="A7" s="134" t="s">
        <v>150</v>
      </c>
      <c r="B7" s="140">
        <f t="shared" ref="B7:E7" si="2">COUNTIF($F10:$F1007,B5)</f>
        <v>15</v>
      </c>
      <c r="C7" s="140">
        <f t="shared" si="2"/>
        <v>0</v>
      </c>
      <c r="D7" s="140">
        <f t="shared" si="2"/>
        <v>0</v>
      </c>
      <c r="E7" s="141">
        <f t="shared" si="2"/>
        <v>0</v>
      </c>
      <c r="F7" s="142"/>
      <c r="G7" s="142"/>
      <c r="H7" s="138"/>
      <c r="I7" s="142"/>
      <c r="J7" s="142"/>
      <c r="K7" s="138"/>
      <c r="L7" s="142"/>
      <c r="M7" s="142"/>
      <c r="N7" s="138"/>
      <c r="O7" s="138"/>
      <c r="P7" s="138"/>
      <c r="Q7" s="139"/>
      <c r="R7" s="129"/>
      <c r="S7" s="129"/>
      <c r="T7" s="129"/>
      <c r="U7" s="129"/>
      <c r="V7" s="129"/>
      <c r="W7" s="129"/>
      <c r="X7" s="129"/>
      <c r="Y7" s="129"/>
      <c r="Z7" s="129"/>
    </row>
    <row r="8" ht="15.0" customHeight="1">
      <c r="A8" s="143" t="s">
        <v>151</v>
      </c>
      <c r="B8" s="144">
        <f t="shared" ref="B8:E8" si="3">COUNTIF($F10:$F1007,B5)</f>
        <v>15</v>
      </c>
      <c r="C8" s="144">
        <f t="shared" si="3"/>
        <v>0</v>
      </c>
      <c r="D8" s="144">
        <f t="shared" si="3"/>
        <v>0</v>
      </c>
      <c r="E8" s="145">
        <f t="shared" si="3"/>
        <v>0</v>
      </c>
      <c r="F8" s="142"/>
      <c r="G8" s="142"/>
      <c r="H8" s="138"/>
      <c r="I8" s="142"/>
      <c r="J8" s="142"/>
      <c r="K8" s="138"/>
      <c r="L8" s="142"/>
      <c r="M8" s="142"/>
      <c r="N8" s="138"/>
      <c r="O8" s="138"/>
      <c r="P8" s="138"/>
      <c r="Q8" s="139"/>
      <c r="R8" s="129"/>
      <c r="S8" s="129"/>
      <c r="T8" s="129"/>
      <c r="U8" s="129"/>
      <c r="V8" s="129"/>
      <c r="W8" s="129"/>
      <c r="X8" s="129"/>
      <c r="Y8" s="129"/>
      <c r="Z8" s="129"/>
    </row>
    <row r="9" ht="15.0" customHeight="1">
      <c r="A9" s="138"/>
      <c r="B9" s="138"/>
      <c r="C9" s="138"/>
      <c r="D9" s="138"/>
      <c r="E9" s="138"/>
      <c r="F9" s="120"/>
      <c r="G9" s="138"/>
      <c r="H9" s="138"/>
      <c r="I9" s="120"/>
      <c r="J9" s="138"/>
      <c r="K9" s="138"/>
      <c r="L9" s="120"/>
      <c r="M9" s="138"/>
      <c r="N9" s="138"/>
      <c r="O9" s="138"/>
      <c r="P9" s="138"/>
      <c r="Q9" s="139"/>
      <c r="R9" s="129"/>
      <c r="S9" s="129"/>
      <c r="T9" s="129"/>
      <c r="U9" s="129"/>
      <c r="V9" s="129"/>
      <c r="W9" s="129"/>
      <c r="X9" s="129"/>
      <c r="Y9" s="129"/>
      <c r="Z9" s="129"/>
    </row>
    <row r="10" ht="25.5" customHeight="1">
      <c r="A10" s="146" t="s">
        <v>152</v>
      </c>
      <c r="B10" s="146" t="s">
        <v>153</v>
      </c>
      <c r="C10" s="146" t="s">
        <v>154</v>
      </c>
      <c r="D10" s="146" t="s">
        <v>155</v>
      </c>
      <c r="E10" s="146" t="s">
        <v>156</v>
      </c>
      <c r="F10" s="146" t="s">
        <v>149</v>
      </c>
      <c r="G10" s="146" t="s">
        <v>157</v>
      </c>
      <c r="H10" s="146" t="s">
        <v>158</v>
      </c>
      <c r="I10" s="146" t="s">
        <v>150</v>
      </c>
      <c r="J10" s="146" t="s">
        <v>157</v>
      </c>
      <c r="K10" s="146" t="s">
        <v>158</v>
      </c>
      <c r="L10" s="146" t="s">
        <v>151</v>
      </c>
      <c r="M10" s="146" t="s">
        <v>157</v>
      </c>
      <c r="N10" s="146" t="s">
        <v>158</v>
      </c>
      <c r="O10" s="146" t="s">
        <v>159</v>
      </c>
      <c r="P10" s="129"/>
      <c r="Q10" s="147"/>
      <c r="R10" s="129"/>
      <c r="S10" s="129"/>
      <c r="T10" s="129"/>
      <c r="U10" s="129"/>
      <c r="V10" s="129"/>
      <c r="W10" s="129"/>
      <c r="X10" s="129"/>
      <c r="Y10" s="129"/>
      <c r="Z10" s="129"/>
    </row>
    <row r="11" ht="15.75" customHeight="1">
      <c r="A11" s="148" t="s">
        <v>160</v>
      </c>
      <c r="B11" s="149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1"/>
      <c r="P11" s="129"/>
      <c r="Q11" s="152"/>
      <c r="R11" s="129"/>
      <c r="S11" s="129"/>
      <c r="T11" s="129"/>
      <c r="U11" s="129"/>
      <c r="V11" s="129"/>
      <c r="W11" s="129"/>
      <c r="X11" s="129"/>
      <c r="Y11" s="129"/>
      <c r="Z11" s="129"/>
    </row>
    <row r="12" ht="12.75" customHeight="1" outlineLevel="1">
      <c r="A12" s="153" t="s">
        <v>161</v>
      </c>
      <c r="B12" s="153" t="s">
        <v>162</v>
      </c>
      <c r="C12" s="154" t="s">
        <v>163</v>
      </c>
      <c r="D12" s="155" t="s">
        <v>164</v>
      </c>
      <c r="E12" s="153" t="s">
        <v>136</v>
      </c>
      <c r="F12" s="153" t="s">
        <v>133</v>
      </c>
      <c r="G12" s="153" t="s">
        <v>17</v>
      </c>
      <c r="H12" s="153" t="s">
        <v>4</v>
      </c>
      <c r="I12" s="153" t="s">
        <v>133</v>
      </c>
      <c r="J12" s="153" t="s">
        <v>17</v>
      </c>
      <c r="K12" s="153" t="s">
        <v>165</v>
      </c>
      <c r="L12" s="153" t="s">
        <v>133</v>
      </c>
      <c r="M12" s="153" t="s">
        <v>17</v>
      </c>
      <c r="N12" s="153" t="s">
        <v>166</v>
      </c>
      <c r="O12" s="156"/>
      <c r="P12" s="68"/>
      <c r="Q12" s="157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 outlineLevel="1">
      <c r="A13" s="153" t="s">
        <v>167</v>
      </c>
      <c r="B13" s="153" t="s">
        <v>168</v>
      </c>
      <c r="C13" s="154" t="s">
        <v>169</v>
      </c>
      <c r="D13" s="155" t="s">
        <v>164</v>
      </c>
      <c r="E13" s="153" t="s">
        <v>136</v>
      </c>
      <c r="F13" s="153" t="s">
        <v>133</v>
      </c>
      <c r="G13" s="153" t="s">
        <v>17</v>
      </c>
      <c r="H13" s="153" t="s">
        <v>4</v>
      </c>
      <c r="I13" s="153" t="s">
        <v>133</v>
      </c>
      <c r="J13" s="153" t="s">
        <v>17</v>
      </c>
      <c r="K13" s="153" t="s">
        <v>165</v>
      </c>
      <c r="L13" s="153" t="s">
        <v>133</v>
      </c>
      <c r="M13" s="153" t="s">
        <v>17</v>
      </c>
      <c r="N13" s="153" t="s">
        <v>166</v>
      </c>
      <c r="O13" s="75"/>
      <c r="P13" s="68"/>
      <c r="Q13" s="121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 outlineLevel="1">
      <c r="A14" s="158" t="s">
        <v>170</v>
      </c>
      <c r="B14" s="153" t="s">
        <v>171</v>
      </c>
      <c r="C14" s="154" t="s">
        <v>172</v>
      </c>
      <c r="D14" s="155" t="s">
        <v>164</v>
      </c>
      <c r="E14" s="153" t="s">
        <v>136</v>
      </c>
      <c r="F14" s="153" t="s">
        <v>133</v>
      </c>
      <c r="G14" s="153" t="s">
        <v>17</v>
      </c>
      <c r="H14" s="153" t="s">
        <v>4</v>
      </c>
      <c r="I14" s="153" t="s">
        <v>133</v>
      </c>
      <c r="J14" s="153" t="s">
        <v>17</v>
      </c>
      <c r="K14" s="153" t="s">
        <v>166</v>
      </c>
      <c r="L14" s="153" t="s">
        <v>133</v>
      </c>
      <c r="M14" s="153" t="s">
        <v>17</v>
      </c>
      <c r="N14" s="153" t="s">
        <v>173</v>
      </c>
      <c r="O14" s="75"/>
      <c r="P14" s="68"/>
      <c r="Q14" s="121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 outlineLevel="1">
      <c r="A15" s="158" t="s">
        <v>174</v>
      </c>
      <c r="B15" s="153" t="s">
        <v>175</v>
      </c>
      <c r="C15" s="154" t="s">
        <v>176</v>
      </c>
      <c r="D15" s="155" t="s">
        <v>164</v>
      </c>
      <c r="E15" s="153" t="s">
        <v>136</v>
      </c>
      <c r="F15" s="153" t="s">
        <v>133</v>
      </c>
      <c r="G15" s="153" t="s">
        <v>17</v>
      </c>
      <c r="H15" s="153" t="s">
        <v>4</v>
      </c>
      <c r="I15" s="153" t="s">
        <v>133</v>
      </c>
      <c r="J15" s="153" t="s">
        <v>17</v>
      </c>
      <c r="K15" s="153" t="s">
        <v>166</v>
      </c>
      <c r="L15" s="153" t="s">
        <v>133</v>
      </c>
      <c r="M15" s="153" t="s">
        <v>17</v>
      </c>
      <c r="N15" s="153" t="s">
        <v>173</v>
      </c>
      <c r="O15" s="75"/>
      <c r="P15" s="68"/>
      <c r="Q15" s="121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 outlineLevel="1">
      <c r="A16" s="158" t="s">
        <v>177</v>
      </c>
      <c r="B16" s="153" t="s">
        <v>178</v>
      </c>
      <c r="C16" s="154" t="s">
        <v>179</v>
      </c>
      <c r="D16" s="155" t="s">
        <v>164</v>
      </c>
      <c r="E16" s="153" t="s">
        <v>136</v>
      </c>
      <c r="F16" s="153" t="s">
        <v>133</v>
      </c>
      <c r="G16" s="153" t="s">
        <v>17</v>
      </c>
      <c r="H16" s="153" t="s">
        <v>4</v>
      </c>
      <c r="I16" s="153" t="s">
        <v>133</v>
      </c>
      <c r="J16" s="153" t="s">
        <v>17</v>
      </c>
      <c r="K16" s="153" t="s">
        <v>165</v>
      </c>
      <c r="L16" s="153" t="s">
        <v>133</v>
      </c>
      <c r="M16" s="153" t="s">
        <v>17</v>
      </c>
      <c r="N16" s="153" t="s">
        <v>173</v>
      </c>
      <c r="O16" s="75"/>
      <c r="P16" s="68"/>
      <c r="Q16" s="121"/>
      <c r="R16" s="10"/>
      <c r="S16" s="10"/>
      <c r="T16" s="10"/>
      <c r="U16" s="10"/>
      <c r="V16" s="10"/>
      <c r="W16" s="10"/>
      <c r="X16" s="10"/>
      <c r="Y16" s="10"/>
      <c r="Z16" s="10"/>
    </row>
    <row r="17" outlineLevel="1">
      <c r="A17" s="158" t="s">
        <v>180</v>
      </c>
      <c r="B17" s="153" t="s">
        <v>181</v>
      </c>
      <c r="C17" s="154" t="s">
        <v>182</v>
      </c>
      <c r="D17" s="156" t="s">
        <v>183</v>
      </c>
      <c r="E17" s="153" t="s">
        <v>136</v>
      </c>
      <c r="F17" s="153" t="s">
        <v>133</v>
      </c>
      <c r="G17" s="153" t="s">
        <v>17</v>
      </c>
      <c r="H17" s="153" t="s">
        <v>4</v>
      </c>
      <c r="I17" s="153" t="s">
        <v>133</v>
      </c>
      <c r="J17" s="153" t="s">
        <v>17</v>
      </c>
      <c r="K17" s="153" t="s">
        <v>165</v>
      </c>
      <c r="L17" s="153" t="s">
        <v>133</v>
      </c>
      <c r="M17" s="153" t="s">
        <v>17</v>
      </c>
      <c r="N17" s="153" t="s">
        <v>166</v>
      </c>
      <c r="O17" s="75"/>
      <c r="P17" s="68"/>
      <c r="Q17" s="121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 outlineLevel="1">
      <c r="A18" s="158" t="s">
        <v>184</v>
      </c>
      <c r="B18" s="153" t="s">
        <v>185</v>
      </c>
      <c r="C18" s="154" t="s">
        <v>186</v>
      </c>
      <c r="D18" s="156" t="s">
        <v>183</v>
      </c>
      <c r="E18" s="153" t="s">
        <v>136</v>
      </c>
      <c r="F18" s="153" t="s">
        <v>133</v>
      </c>
      <c r="G18" s="153" t="s">
        <v>17</v>
      </c>
      <c r="H18" s="153" t="s">
        <v>4</v>
      </c>
      <c r="I18" s="153" t="s">
        <v>133</v>
      </c>
      <c r="J18" s="153" t="s">
        <v>17</v>
      </c>
      <c r="K18" s="153" t="s">
        <v>165</v>
      </c>
      <c r="L18" s="153" t="s">
        <v>133</v>
      </c>
      <c r="M18" s="153" t="s">
        <v>17</v>
      </c>
      <c r="N18" s="153" t="s">
        <v>166</v>
      </c>
      <c r="O18" s="75"/>
      <c r="P18" s="68"/>
      <c r="Q18" s="121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 outlineLevel="1">
      <c r="A19" s="158" t="s">
        <v>187</v>
      </c>
      <c r="B19" s="153" t="s">
        <v>188</v>
      </c>
      <c r="C19" s="154" t="s">
        <v>189</v>
      </c>
      <c r="D19" s="153" t="s">
        <v>190</v>
      </c>
      <c r="E19" s="153" t="s">
        <v>136</v>
      </c>
      <c r="F19" s="153" t="s">
        <v>133</v>
      </c>
      <c r="G19" s="153" t="s">
        <v>17</v>
      </c>
      <c r="H19" s="153" t="s">
        <v>4</v>
      </c>
      <c r="I19" s="153" t="s">
        <v>133</v>
      </c>
      <c r="J19" s="153" t="s">
        <v>17</v>
      </c>
      <c r="K19" s="153" t="s">
        <v>165</v>
      </c>
      <c r="L19" s="153" t="s">
        <v>133</v>
      </c>
      <c r="M19" s="153" t="s">
        <v>17</v>
      </c>
      <c r="N19" s="153" t="s">
        <v>166</v>
      </c>
      <c r="O19" s="75"/>
      <c r="P19" s="68"/>
      <c r="Q19" s="121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 outlineLevel="1">
      <c r="A20" s="158" t="s">
        <v>191</v>
      </c>
      <c r="B20" s="153" t="s">
        <v>192</v>
      </c>
      <c r="C20" s="154" t="s">
        <v>193</v>
      </c>
      <c r="D20" s="153" t="s">
        <v>194</v>
      </c>
      <c r="E20" s="153" t="s">
        <v>136</v>
      </c>
      <c r="F20" s="153" t="s">
        <v>133</v>
      </c>
      <c r="G20" s="153" t="s">
        <v>17</v>
      </c>
      <c r="H20" s="153" t="s">
        <v>4</v>
      </c>
      <c r="I20" s="153" t="s">
        <v>133</v>
      </c>
      <c r="J20" s="153" t="s">
        <v>17</v>
      </c>
      <c r="K20" s="153" t="s">
        <v>165</v>
      </c>
      <c r="L20" s="153" t="s">
        <v>133</v>
      </c>
      <c r="M20" s="153" t="s">
        <v>17</v>
      </c>
      <c r="N20" s="153" t="s">
        <v>166</v>
      </c>
      <c r="O20" s="75"/>
      <c r="P20" s="68"/>
      <c r="Q20" s="121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 outlineLevel="1">
      <c r="A21" s="158" t="s">
        <v>195</v>
      </c>
      <c r="B21" s="153" t="s">
        <v>196</v>
      </c>
      <c r="C21" s="154" t="s">
        <v>197</v>
      </c>
      <c r="D21" s="153" t="s">
        <v>198</v>
      </c>
      <c r="E21" s="153" t="s">
        <v>136</v>
      </c>
      <c r="F21" s="153" t="s">
        <v>133</v>
      </c>
      <c r="G21" s="153" t="s">
        <v>17</v>
      </c>
      <c r="H21" s="153" t="s">
        <v>4</v>
      </c>
      <c r="I21" s="153" t="s">
        <v>133</v>
      </c>
      <c r="J21" s="153" t="s">
        <v>17</v>
      </c>
      <c r="K21" s="153" t="s">
        <v>165</v>
      </c>
      <c r="L21" s="153" t="s">
        <v>133</v>
      </c>
      <c r="M21" s="153" t="s">
        <v>17</v>
      </c>
      <c r="N21" s="153" t="s">
        <v>166</v>
      </c>
      <c r="O21" s="75"/>
      <c r="P21" s="68"/>
      <c r="Q21" s="121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59" t="s">
        <v>199</v>
      </c>
      <c r="B22" s="160"/>
      <c r="C22" s="161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3"/>
      <c r="P22" s="129"/>
      <c r="Q22" s="152"/>
      <c r="R22" s="129"/>
      <c r="S22" s="129"/>
      <c r="T22" s="129"/>
      <c r="U22" s="129"/>
      <c r="V22" s="129"/>
      <c r="W22" s="129"/>
      <c r="X22" s="129"/>
      <c r="Y22" s="129"/>
      <c r="Z22" s="129"/>
    </row>
    <row r="23" ht="12.75" customHeight="1" outlineLevel="1">
      <c r="A23" s="158" t="s">
        <v>200</v>
      </c>
      <c r="B23" s="153" t="s">
        <v>201</v>
      </c>
      <c r="C23" s="154" t="s">
        <v>202</v>
      </c>
      <c r="D23" s="153" t="s">
        <v>203</v>
      </c>
      <c r="E23" s="153" t="s">
        <v>136</v>
      </c>
      <c r="F23" s="153" t="s">
        <v>133</v>
      </c>
      <c r="G23" s="153" t="s">
        <v>17</v>
      </c>
      <c r="H23" s="153" t="s">
        <v>4</v>
      </c>
      <c r="I23" s="153" t="s">
        <v>133</v>
      </c>
      <c r="J23" s="153" t="s">
        <v>17</v>
      </c>
      <c r="K23" s="153" t="s">
        <v>165</v>
      </c>
      <c r="L23" s="153" t="s">
        <v>133</v>
      </c>
      <c r="M23" s="153" t="s">
        <v>17</v>
      </c>
      <c r="N23" s="153" t="s">
        <v>166</v>
      </c>
      <c r="O23" s="75"/>
      <c r="P23" s="68"/>
      <c r="Q23" s="121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 outlineLevel="1">
      <c r="A24" s="158" t="s">
        <v>204</v>
      </c>
      <c r="B24" s="153" t="s">
        <v>205</v>
      </c>
      <c r="C24" s="164" t="s">
        <v>206</v>
      </c>
      <c r="D24" s="153" t="s">
        <v>207</v>
      </c>
      <c r="E24" s="153" t="s">
        <v>208</v>
      </c>
      <c r="F24" s="153" t="s">
        <v>133</v>
      </c>
      <c r="G24" s="153" t="s">
        <v>17</v>
      </c>
      <c r="H24" s="153" t="s">
        <v>4</v>
      </c>
      <c r="I24" s="153" t="s">
        <v>133</v>
      </c>
      <c r="J24" s="153" t="s">
        <v>17</v>
      </c>
      <c r="K24" s="153" t="s">
        <v>165</v>
      </c>
      <c r="L24" s="153" t="s">
        <v>133</v>
      </c>
      <c r="M24" s="153" t="s">
        <v>17</v>
      </c>
      <c r="N24" s="153" t="s">
        <v>166</v>
      </c>
      <c r="O24" s="75"/>
      <c r="P24" s="68"/>
      <c r="Q24" s="121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59" t="s">
        <v>209</v>
      </c>
      <c r="B25" s="160"/>
      <c r="C25" s="161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3"/>
      <c r="P25" s="129"/>
      <c r="Q25" s="152"/>
      <c r="R25" s="129"/>
      <c r="S25" s="129"/>
      <c r="T25" s="129"/>
      <c r="U25" s="129"/>
      <c r="V25" s="129"/>
      <c r="W25" s="129"/>
      <c r="X25" s="129"/>
      <c r="Y25" s="129"/>
      <c r="Z25" s="129"/>
    </row>
    <row r="26" ht="12.75" customHeight="1" outlineLevel="1">
      <c r="A26" s="153" t="s">
        <v>210</v>
      </c>
      <c r="B26" s="153" t="s">
        <v>211</v>
      </c>
      <c r="C26" s="154" t="s">
        <v>212</v>
      </c>
      <c r="D26" s="153" t="s">
        <v>213</v>
      </c>
      <c r="E26" s="153" t="s">
        <v>136</v>
      </c>
      <c r="F26" s="153" t="s">
        <v>133</v>
      </c>
      <c r="G26" s="153" t="s">
        <v>17</v>
      </c>
      <c r="H26" s="153" t="s">
        <v>4</v>
      </c>
      <c r="I26" s="153" t="s">
        <v>133</v>
      </c>
      <c r="J26" s="153" t="s">
        <v>17</v>
      </c>
      <c r="K26" s="153" t="s">
        <v>165</v>
      </c>
      <c r="L26" s="153" t="s">
        <v>133</v>
      </c>
      <c r="M26" s="153" t="s">
        <v>17</v>
      </c>
      <c r="N26" s="153" t="s">
        <v>166</v>
      </c>
      <c r="O26" s="75"/>
      <c r="P26" s="68"/>
      <c r="Q26" s="121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 outlineLevel="1">
      <c r="A27" s="153" t="s">
        <v>214</v>
      </c>
      <c r="B27" s="153" t="s">
        <v>215</v>
      </c>
      <c r="C27" s="154" t="s">
        <v>212</v>
      </c>
      <c r="D27" s="153" t="s">
        <v>198</v>
      </c>
      <c r="E27" s="153" t="s">
        <v>136</v>
      </c>
      <c r="F27" s="153" t="s">
        <v>133</v>
      </c>
      <c r="G27" s="153" t="s">
        <v>17</v>
      </c>
      <c r="H27" s="153" t="s">
        <v>4</v>
      </c>
      <c r="I27" s="153" t="s">
        <v>133</v>
      </c>
      <c r="J27" s="153" t="s">
        <v>17</v>
      </c>
      <c r="K27" s="153" t="s">
        <v>165</v>
      </c>
      <c r="L27" s="153" t="s">
        <v>133</v>
      </c>
      <c r="M27" s="153" t="s">
        <v>17</v>
      </c>
      <c r="N27" s="153" t="s">
        <v>166</v>
      </c>
      <c r="O27" s="75"/>
      <c r="P27" s="68"/>
      <c r="Q27" s="121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65" t="s">
        <v>216</v>
      </c>
      <c r="B28" s="166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3"/>
      <c r="P28" s="129"/>
      <c r="Q28" s="152"/>
      <c r="R28" s="129"/>
      <c r="S28" s="129"/>
      <c r="T28" s="129"/>
      <c r="U28" s="129"/>
      <c r="V28" s="129"/>
      <c r="W28" s="129"/>
      <c r="X28" s="129"/>
      <c r="Y28" s="129"/>
      <c r="Z28" s="129"/>
    </row>
    <row r="29" ht="12.75" customHeight="1" outlineLevel="1">
      <c r="A29" s="153" t="s">
        <v>217</v>
      </c>
      <c r="B29" s="153" t="s">
        <v>218</v>
      </c>
      <c r="C29" s="154" t="s">
        <v>219</v>
      </c>
      <c r="D29" s="153" t="s">
        <v>220</v>
      </c>
      <c r="E29" s="167" t="s">
        <v>221</v>
      </c>
      <c r="F29" s="153" t="s">
        <v>133</v>
      </c>
      <c r="G29" s="153" t="s">
        <v>17</v>
      </c>
      <c r="H29" s="153" t="s">
        <v>4</v>
      </c>
      <c r="I29" s="153" t="s">
        <v>133</v>
      </c>
      <c r="J29" s="153" t="s">
        <v>17</v>
      </c>
      <c r="K29" s="153" t="s">
        <v>165</v>
      </c>
      <c r="L29" s="153" t="s">
        <v>133</v>
      </c>
      <c r="M29" s="153" t="s">
        <v>17</v>
      </c>
      <c r="N29" s="153" t="s">
        <v>166</v>
      </c>
      <c r="O29" s="75"/>
      <c r="P29" s="68"/>
      <c r="Q29" s="121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 outlineLevel="1">
      <c r="A30" s="158"/>
      <c r="B30" s="153"/>
      <c r="C30" s="154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75"/>
      <c r="P30" s="68"/>
      <c r="Q30" s="121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 outlineLevel="1">
      <c r="A31" s="158"/>
      <c r="B31" s="153"/>
      <c r="C31" s="154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75"/>
      <c r="P31" s="68"/>
      <c r="Q31" s="121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 outlineLevel="1">
      <c r="A32" s="158"/>
      <c r="B32" s="153"/>
      <c r="C32" s="164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75"/>
      <c r="P32" s="68"/>
      <c r="Q32" s="121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1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1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1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1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1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1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1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1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1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1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1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1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1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1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1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1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1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1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1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1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1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1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1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1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1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1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1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1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1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1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1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1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1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1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1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1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1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1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1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1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1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1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1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1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1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1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1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1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1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1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1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1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1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1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1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1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1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1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1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1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1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1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1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1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1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1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1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1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1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1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1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1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1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1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1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1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1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1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1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1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1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1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1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1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1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1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1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1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1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1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1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1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1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1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1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1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1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1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1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1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1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1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1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1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1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1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1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1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1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1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1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1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1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1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1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1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1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1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1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1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1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1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1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1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1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1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1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1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1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1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1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1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1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1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1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1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1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1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1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1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1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1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1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1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1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1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1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1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1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1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1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1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1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1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1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1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1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1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1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1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1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1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1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1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1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1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1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1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1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1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1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1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1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1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1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1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1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1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1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1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1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1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1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1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1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1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1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1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1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1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1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1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1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1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1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1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1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1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1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1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1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1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1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1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1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1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1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1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1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1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1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1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1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1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1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1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1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1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1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1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1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1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1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1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1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1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1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1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1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1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1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1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1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1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1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1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1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1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1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1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1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1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1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1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1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1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1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1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1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1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1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1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1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1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1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1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1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1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1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1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1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1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1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1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1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1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1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1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1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1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1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1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1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1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1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1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1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1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1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1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1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1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1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1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1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1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1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1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1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1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1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1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1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1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1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1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1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1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1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1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1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1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1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1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1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1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1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1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1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1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1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1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1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1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1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1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1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1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1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1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1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1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1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1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1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1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1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1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1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1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1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1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1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1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1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1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1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1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1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1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1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1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1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1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1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1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1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1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1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1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1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1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1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1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1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1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1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1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1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1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1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1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1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1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1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1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1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1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1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1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1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1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1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1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1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1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1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1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1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1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1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1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1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1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1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1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1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1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1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1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1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1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1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1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1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1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1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1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1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1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1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1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1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1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1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1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1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1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1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1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1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1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1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1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1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1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1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1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1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1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1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1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1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1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1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1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1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1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1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1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1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1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1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1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1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1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1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1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1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1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1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1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1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1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1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1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1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1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1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1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1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1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1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1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1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1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1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1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1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1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1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1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1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1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1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1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1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1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1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1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1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1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1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1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1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1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1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1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1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1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1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1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1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1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1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1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1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1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1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1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1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1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1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1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1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1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1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1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1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1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1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1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1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1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1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1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1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1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1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1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1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1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1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1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1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1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1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1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1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1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1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1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1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1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1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1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1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1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1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1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1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1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1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1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1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1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1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1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1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1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1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1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1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1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1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1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1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1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1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1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1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1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1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1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1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1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1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1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1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1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1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1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1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1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1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1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1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1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1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1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1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1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1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1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1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1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1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1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1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1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1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1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1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1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1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1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1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1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1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1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1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1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1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1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1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1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1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1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1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1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1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1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1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1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1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1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1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1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1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1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1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1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1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1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1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1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1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1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1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1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1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1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1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1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1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1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1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1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1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1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1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1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1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1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1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1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1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1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1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1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1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1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1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1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1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1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1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1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1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1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1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1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1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1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1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1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1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1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1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1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1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1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1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1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1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1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1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1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1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1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1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1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1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1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1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1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1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1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1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1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1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1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1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1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1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1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1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1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1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1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1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1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1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1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1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1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1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1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1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1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1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1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1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1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1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1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1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1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1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1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1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1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1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1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1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1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1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1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1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1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1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1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1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1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1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1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1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1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1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1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1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1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1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1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1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1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1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1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1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1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1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1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1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1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21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21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21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21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21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21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21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21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21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21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2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21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t="12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21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ht="12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21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ht="12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21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ht="12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21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ht="12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21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ht="12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21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ht="12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21"/>
      <c r="R1009" s="10"/>
      <c r="S1009" s="10"/>
      <c r="T1009" s="10"/>
      <c r="U1009" s="10"/>
      <c r="V1009" s="10"/>
      <c r="W1009" s="10"/>
      <c r="X1009" s="10"/>
      <c r="Y1009" s="10"/>
      <c r="Z1009" s="1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1:F21 I11:I21 L11:L21 F23:F24 I23:I24 L23:L24 F26:F27 I26:I27 L26:L27 F29:F32 I29:I32 L29:L32 G33:G156 J33:J156 M33:M156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9.63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2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22" t="s">
        <v>145</v>
      </c>
      <c r="B2" s="123" t="s">
        <v>118</v>
      </c>
      <c r="C2" s="124"/>
      <c r="D2" s="124"/>
      <c r="E2" s="125"/>
      <c r="F2" s="126"/>
      <c r="G2" s="127"/>
      <c r="H2" s="50"/>
      <c r="I2" s="126"/>
      <c r="J2" s="127"/>
      <c r="K2" s="50"/>
      <c r="L2" s="126"/>
      <c r="M2" s="127"/>
      <c r="N2" s="50"/>
      <c r="O2" s="50"/>
      <c r="P2" s="50"/>
      <c r="Q2" s="128"/>
      <c r="R2" s="129" t="s">
        <v>133</v>
      </c>
      <c r="S2" s="129"/>
      <c r="T2" s="129"/>
      <c r="U2" s="129"/>
      <c r="V2" s="129"/>
      <c r="W2" s="129"/>
      <c r="X2" s="129"/>
      <c r="Y2" s="129"/>
      <c r="Z2" s="129"/>
    </row>
    <row r="3" ht="12.75" customHeight="1">
      <c r="A3" s="130" t="s">
        <v>146</v>
      </c>
      <c r="B3" s="131" t="s">
        <v>222</v>
      </c>
      <c r="C3" s="5"/>
      <c r="D3" s="5"/>
      <c r="E3" s="132"/>
      <c r="F3" s="126"/>
      <c r="G3" s="127"/>
      <c r="H3" s="50"/>
      <c r="I3" s="126"/>
      <c r="J3" s="127"/>
      <c r="K3" s="50"/>
      <c r="L3" s="126"/>
      <c r="M3" s="127"/>
      <c r="N3" s="50"/>
      <c r="O3" s="50"/>
      <c r="P3" s="50"/>
      <c r="Q3" s="128"/>
      <c r="R3" s="129" t="s">
        <v>134</v>
      </c>
      <c r="S3" s="129"/>
      <c r="T3" s="129"/>
      <c r="U3" s="129"/>
      <c r="V3" s="129"/>
      <c r="W3" s="129"/>
      <c r="X3" s="129"/>
      <c r="Y3" s="129"/>
      <c r="Z3" s="129"/>
    </row>
    <row r="4" ht="18.0" customHeight="1">
      <c r="A4" s="130" t="s">
        <v>147</v>
      </c>
      <c r="B4" s="133">
        <f>COUNTIF(A:A, "PF*")</f>
        <v>8</v>
      </c>
      <c r="C4" s="5"/>
      <c r="D4" s="5"/>
      <c r="E4" s="132"/>
      <c r="F4" s="126"/>
      <c r="G4" s="127"/>
      <c r="H4" s="50"/>
      <c r="I4" s="126"/>
      <c r="J4" s="127"/>
      <c r="K4" s="50"/>
      <c r="L4" s="126"/>
      <c r="M4" s="127"/>
      <c r="N4" s="50"/>
      <c r="O4" s="50"/>
      <c r="P4" s="50"/>
      <c r="Q4" s="128"/>
      <c r="R4" s="129" t="s">
        <v>135</v>
      </c>
      <c r="S4" s="129"/>
      <c r="T4" s="129"/>
      <c r="U4" s="129"/>
      <c r="V4" s="129"/>
      <c r="W4" s="129"/>
      <c r="X4" s="129"/>
      <c r="Y4" s="129"/>
      <c r="Z4" s="129"/>
    </row>
    <row r="5" ht="19.5" customHeight="1">
      <c r="A5" s="134" t="s">
        <v>148</v>
      </c>
      <c r="B5" s="135" t="s">
        <v>133</v>
      </c>
      <c r="C5" s="135" t="s">
        <v>134</v>
      </c>
      <c r="D5" s="135" t="s">
        <v>135</v>
      </c>
      <c r="E5" s="136" t="s">
        <v>136</v>
      </c>
      <c r="F5" s="137"/>
      <c r="G5" s="137"/>
      <c r="H5" s="138"/>
      <c r="I5" s="137"/>
      <c r="J5" s="137"/>
      <c r="K5" s="138"/>
      <c r="L5" s="137"/>
      <c r="M5" s="137"/>
      <c r="N5" s="138"/>
      <c r="O5" s="138"/>
      <c r="P5" s="138"/>
      <c r="Q5" s="139"/>
      <c r="R5" s="129" t="s">
        <v>136</v>
      </c>
      <c r="S5" s="129"/>
      <c r="T5" s="129"/>
      <c r="U5" s="129"/>
      <c r="V5" s="129"/>
      <c r="W5" s="129"/>
      <c r="X5" s="129"/>
      <c r="Y5" s="129"/>
      <c r="Z5" s="129"/>
    </row>
    <row r="6" ht="15.0" customHeight="1">
      <c r="A6" s="134" t="s">
        <v>149</v>
      </c>
      <c r="B6" s="168">
        <f>COUNTIF($F10:$F995,B5)</f>
        <v>8</v>
      </c>
      <c r="C6" s="140">
        <f t="shared" ref="C6:E6" si="1">COUNTIF($F10:$F973,C5)</f>
        <v>0</v>
      </c>
      <c r="D6" s="140">
        <f t="shared" si="1"/>
        <v>0</v>
      </c>
      <c r="E6" s="141">
        <f t="shared" si="1"/>
        <v>0</v>
      </c>
      <c r="F6" s="142"/>
      <c r="G6" s="142"/>
      <c r="H6" s="138"/>
      <c r="I6" s="142"/>
      <c r="J6" s="142"/>
      <c r="K6" s="138"/>
      <c r="L6" s="142"/>
      <c r="M6" s="142"/>
      <c r="N6" s="138"/>
      <c r="O6" s="138"/>
      <c r="P6" s="138"/>
      <c r="Q6" s="139"/>
      <c r="R6" s="129"/>
      <c r="S6" s="129"/>
      <c r="T6" s="129"/>
      <c r="U6" s="129"/>
      <c r="V6" s="129"/>
      <c r="W6" s="129"/>
      <c r="X6" s="129"/>
      <c r="Y6" s="129"/>
      <c r="Z6" s="129"/>
    </row>
    <row r="7" ht="15.0" customHeight="1">
      <c r="A7" s="134" t="s">
        <v>150</v>
      </c>
      <c r="B7" s="168">
        <f t="shared" ref="B7:B8" si="3">COUNTIFS($L$10:$L977, "Passed", $B$10:$B977, "&lt;&gt;")</f>
        <v>8</v>
      </c>
      <c r="C7" s="140">
        <f t="shared" ref="C7:E7" si="2">COUNTIF($F10:$F973,C5)</f>
        <v>0</v>
      </c>
      <c r="D7" s="140">
        <f t="shared" si="2"/>
        <v>0</v>
      </c>
      <c r="E7" s="141">
        <f t="shared" si="2"/>
        <v>0</v>
      </c>
      <c r="F7" s="142"/>
      <c r="G7" s="142"/>
      <c r="H7" s="138"/>
      <c r="I7" s="142"/>
      <c r="J7" s="142"/>
      <c r="K7" s="138"/>
      <c r="L7" s="142"/>
      <c r="M7" s="142"/>
      <c r="N7" s="138"/>
      <c r="O7" s="138"/>
      <c r="P7" s="138"/>
      <c r="Q7" s="139"/>
      <c r="R7" s="129"/>
      <c r="S7" s="129"/>
      <c r="T7" s="129"/>
      <c r="U7" s="129"/>
      <c r="V7" s="129"/>
      <c r="W7" s="129"/>
      <c r="X7" s="129"/>
      <c r="Y7" s="129"/>
      <c r="Z7" s="129"/>
    </row>
    <row r="8" ht="15.0" customHeight="1">
      <c r="A8" s="143" t="s">
        <v>151</v>
      </c>
      <c r="B8" s="169">
        <f t="shared" si="3"/>
        <v>8</v>
      </c>
      <c r="C8" s="144">
        <f t="shared" ref="C8:E8" si="4">COUNTIF($F10:$F973,C5)</f>
        <v>0</v>
      </c>
      <c r="D8" s="144">
        <f t="shared" si="4"/>
        <v>0</v>
      </c>
      <c r="E8" s="145">
        <f t="shared" si="4"/>
        <v>0</v>
      </c>
      <c r="F8" s="142"/>
      <c r="G8" s="142"/>
      <c r="H8" s="138"/>
      <c r="I8" s="142"/>
      <c r="J8" s="142"/>
      <c r="K8" s="138"/>
      <c r="L8" s="142"/>
      <c r="M8" s="142"/>
      <c r="N8" s="138"/>
      <c r="O8" s="138"/>
      <c r="P8" s="138"/>
      <c r="Q8" s="139"/>
      <c r="R8" s="129"/>
      <c r="S8" s="129"/>
      <c r="T8" s="129"/>
      <c r="U8" s="129"/>
      <c r="V8" s="129"/>
      <c r="W8" s="129"/>
      <c r="X8" s="129"/>
      <c r="Y8" s="129"/>
      <c r="Z8" s="129"/>
    </row>
    <row r="9" ht="15.0" customHeight="1">
      <c r="A9" s="138"/>
      <c r="B9" s="138"/>
      <c r="C9" s="138"/>
      <c r="D9" s="138"/>
      <c r="E9" s="138"/>
      <c r="F9" s="120"/>
      <c r="G9" s="138"/>
      <c r="H9" s="138"/>
      <c r="I9" s="120"/>
      <c r="J9" s="138"/>
      <c r="K9" s="138"/>
      <c r="L9" s="120"/>
      <c r="M9" s="138"/>
      <c r="N9" s="138"/>
      <c r="O9" s="138"/>
      <c r="P9" s="138"/>
      <c r="Q9" s="139"/>
      <c r="R9" s="129"/>
      <c r="S9" s="129"/>
      <c r="T9" s="129"/>
      <c r="U9" s="129"/>
      <c r="V9" s="129"/>
      <c r="W9" s="129"/>
      <c r="X9" s="129"/>
      <c r="Y9" s="129"/>
      <c r="Z9" s="129"/>
    </row>
    <row r="10" ht="25.5" customHeight="1">
      <c r="A10" s="146" t="s">
        <v>152</v>
      </c>
      <c r="B10" s="146" t="s">
        <v>153</v>
      </c>
      <c r="C10" s="146" t="s">
        <v>154</v>
      </c>
      <c r="D10" s="146" t="s">
        <v>155</v>
      </c>
      <c r="E10" s="146" t="s">
        <v>156</v>
      </c>
      <c r="F10" s="146" t="s">
        <v>149</v>
      </c>
      <c r="G10" s="146" t="s">
        <v>157</v>
      </c>
      <c r="H10" s="146" t="s">
        <v>158</v>
      </c>
      <c r="I10" s="146" t="s">
        <v>150</v>
      </c>
      <c r="J10" s="146" t="s">
        <v>157</v>
      </c>
      <c r="K10" s="146" t="s">
        <v>158</v>
      </c>
      <c r="L10" s="146" t="s">
        <v>151</v>
      </c>
      <c r="M10" s="146" t="s">
        <v>157</v>
      </c>
      <c r="N10" s="146" t="s">
        <v>158</v>
      </c>
      <c r="O10" s="146" t="s">
        <v>159</v>
      </c>
      <c r="P10" s="129"/>
      <c r="Q10" s="147"/>
      <c r="R10" s="129"/>
      <c r="S10" s="129"/>
      <c r="T10" s="129"/>
      <c r="U10" s="129"/>
      <c r="V10" s="129"/>
      <c r="W10" s="129"/>
      <c r="X10" s="129"/>
      <c r="Y10" s="129"/>
      <c r="Z10" s="129"/>
    </row>
    <row r="11" ht="15.75" customHeight="1">
      <c r="A11" s="170" t="s">
        <v>118</v>
      </c>
      <c r="B11" s="170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</row>
    <row r="12" ht="59.25" customHeight="1" outlineLevel="1">
      <c r="A12" s="153" t="s">
        <v>223</v>
      </c>
      <c r="B12" s="153" t="s">
        <v>224</v>
      </c>
      <c r="C12" s="171" t="s">
        <v>225</v>
      </c>
      <c r="D12" s="153" t="s">
        <v>226</v>
      </c>
      <c r="E12" s="153" t="s">
        <v>227</v>
      </c>
      <c r="F12" s="153" t="s">
        <v>133</v>
      </c>
      <c r="G12" s="172">
        <v>45669.0</v>
      </c>
      <c r="H12" s="153" t="s">
        <v>4</v>
      </c>
      <c r="I12" s="153" t="s">
        <v>133</v>
      </c>
      <c r="J12" s="172">
        <v>45728.0</v>
      </c>
      <c r="K12" s="153" t="s">
        <v>165</v>
      </c>
      <c r="L12" s="153" t="s">
        <v>133</v>
      </c>
      <c r="M12" s="172">
        <v>45728.0</v>
      </c>
      <c r="N12" s="153" t="s">
        <v>166</v>
      </c>
      <c r="O12" s="156"/>
      <c r="P12" s="173"/>
      <c r="Q12" s="174"/>
      <c r="R12" s="175"/>
      <c r="S12" s="175"/>
      <c r="T12" s="175"/>
      <c r="U12" s="175"/>
      <c r="V12" s="175"/>
      <c r="W12" s="175"/>
      <c r="X12" s="175"/>
      <c r="Y12" s="175"/>
      <c r="Z12" s="175"/>
    </row>
    <row r="13" ht="43.5" customHeight="1" outlineLevel="1">
      <c r="A13" s="153" t="s">
        <v>228</v>
      </c>
      <c r="B13" s="153" t="s">
        <v>229</v>
      </c>
      <c r="C13" s="171" t="s">
        <v>230</v>
      </c>
      <c r="D13" s="153" t="s">
        <v>231</v>
      </c>
      <c r="E13" s="153" t="s">
        <v>136</v>
      </c>
      <c r="F13" s="153" t="s">
        <v>133</v>
      </c>
      <c r="G13" s="172">
        <v>45669.0</v>
      </c>
      <c r="H13" s="153" t="s">
        <v>4</v>
      </c>
      <c r="I13" s="153" t="s">
        <v>133</v>
      </c>
      <c r="J13" s="172">
        <v>45728.0</v>
      </c>
      <c r="K13" s="153" t="s">
        <v>165</v>
      </c>
      <c r="L13" s="153" t="s">
        <v>133</v>
      </c>
      <c r="M13" s="172">
        <v>45728.0</v>
      </c>
      <c r="N13" s="153" t="s">
        <v>166</v>
      </c>
      <c r="O13" s="156"/>
      <c r="P13" s="176"/>
      <c r="Q13" s="157"/>
      <c r="R13" s="177"/>
      <c r="S13" s="177"/>
      <c r="T13" s="177"/>
      <c r="U13" s="177"/>
      <c r="V13" s="177"/>
      <c r="W13" s="177"/>
      <c r="X13" s="177"/>
      <c r="Y13" s="177"/>
      <c r="Z13" s="177"/>
    </row>
    <row r="14" ht="54.75" customHeight="1" outlineLevel="1">
      <c r="A14" s="153" t="s">
        <v>232</v>
      </c>
      <c r="B14" s="153" t="s">
        <v>233</v>
      </c>
      <c r="C14" s="171" t="s">
        <v>234</v>
      </c>
      <c r="D14" s="153" t="s">
        <v>235</v>
      </c>
      <c r="E14" s="153" t="s">
        <v>236</v>
      </c>
      <c r="F14" s="153" t="s">
        <v>133</v>
      </c>
      <c r="G14" s="172">
        <v>45669.0</v>
      </c>
      <c r="H14" s="153" t="s">
        <v>4</v>
      </c>
      <c r="I14" s="153" t="s">
        <v>133</v>
      </c>
      <c r="J14" s="172">
        <v>45728.0</v>
      </c>
      <c r="K14" s="153" t="s">
        <v>165</v>
      </c>
      <c r="L14" s="153" t="s">
        <v>133</v>
      </c>
      <c r="M14" s="172">
        <v>45728.0</v>
      </c>
      <c r="N14" s="153" t="s">
        <v>166</v>
      </c>
      <c r="O14" s="156"/>
      <c r="P14" s="176"/>
      <c r="Q14" s="157"/>
      <c r="R14" s="177"/>
      <c r="S14" s="177"/>
      <c r="T14" s="177"/>
      <c r="U14" s="177"/>
      <c r="V14" s="177"/>
      <c r="W14" s="177"/>
      <c r="X14" s="177"/>
      <c r="Y14" s="177"/>
      <c r="Z14" s="177"/>
    </row>
    <row r="15" ht="43.5" customHeight="1" outlineLevel="1">
      <c r="A15" s="153" t="s">
        <v>237</v>
      </c>
      <c r="B15" s="153" t="s">
        <v>238</v>
      </c>
      <c r="C15" s="171" t="s">
        <v>239</v>
      </c>
      <c r="D15" s="153" t="s">
        <v>240</v>
      </c>
      <c r="E15" s="153" t="s">
        <v>241</v>
      </c>
      <c r="F15" s="153" t="s">
        <v>133</v>
      </c>
      <c r="G15" s="172">
        <v>45669.0</v>
      </c>
      <c r="H15" s="153" t="s">
        <v>4</v>
      </c>
      <c r="I15" s="153" t="s">
        <v>133</v>
      </c>
      <c r="J15" s="172">
        <v>45728.0</v>
      </c>
      <c r="K15" s="153" t="s">
        <v>165</v>
      </c>
      <c r="L15" s="153" t="s">
        <v>133</v>
      </c>
      <c r="M15" s="172">
        <v>45728.0</v>
      </c>
      <c r="N15" s="153" t="s">
        <v>166</v>
      </c>
      <c r="O15" s="156"/>
      <c r="P15" s="176"/>
      <c r="Q15" s="157"/>
      <c r="R15" s="177"/>
      <c r="S15" s="177"/>
      <c r="T15" s="177"/>
      <c r="U15" s="177"/>
      <c r="V15" s="177"/>
      <c r="W15" s="177"/>
      <c r="X15" s="177"/>
      <c r="Y15" s="177"/>
      <c r="Z15" s="177"/>
    </row>
    <row r="16" ht="43.5" customHeight="1" outlineLevel="1">
      <c r="A16" s="153" t="s">
        <v>242</v>
      </c>
      <c r="B16" s="153" t="s">
        <v>243</v>
      </c>
      <c r="C16" s="171" t="s">
        <v>244</v>
      </c>
      <c r="D16" s="153" t="s">
        <v>245</v>
      </c>
      <c r="E16" s="153" t="s">
        <v>246</v>
      </c>
      <c r="F16" s="153" t="s">
        <v>133</v>
      </c>
      <c r="G16" s="172">
        <v>45669.0</v>
      </c>
      <c r="H16" s="153" t="s">
        <v>4</v>
      </c>
      <c r="I16" s="153" t="s">
        <v>133</v>
      </c>
      <c r="J16" s="172">
        <v>45728.0</v>
      </c>
      <c r="K16" s="153" t="s">
        <v>165</v>
      </c>
      <c r="L16" s="153" t="s">
        <v>133</v>
      </c>
      <c r="M16" s="172">
        <v>45728.0</v>
      </c>
      <c r="N16" s="153" t="s">
        <v>166</v>
      </c>
      <c r="O16" s="156"/>
      <c r="P16" s="176"/>
      <c r="Q16" s="157"/>
      <c r="R16" s="177"/>
      <c r="S16" s="177"/>
      <c r="T16" s="177"/>
      <c r="U16" s="177"/>
      <c r="V16" s="177"/>
      <c r="W16" s="177"/>
      <c r="X16" s="177"/>
      <c r="Y16" s="177"/>
      <c r="Z16" s="177"/>
    </row>
    <row r="17" ht="43.5" customHeight="1" outlineLevel="1">
      <c r="A17" s="153" t="s">
        <v>247</v>
      </c>
      <c r="B17" s="153" t="s">
        <v>248</v>
      </c>
      <c r="C17" s="171" t="s">
        <v>249</v>
      </c>
      <c r="D17" s="153" t="s">
        <v>250</v>
      </c>
      <c r="E17" s="153" t="s">
        <v>251</v>
      </c>
      <c r="F17" s="153" t="s">
        <v>133</v>
      </c>
      <c r="G17" s="172">
        <v>45669.0</v>
      </c>
      <c r="H17" s="153" t="s">
        <v>4</v>
      </c>
      <c r="I17" s="153" t="s">
        <v>133</v>
      </c>
      <c r="J17" s="172">
        <v>45728.0</v>
      </c>
      <c r="K17" s="153" t="s">
        <v>165</v>
      </c>
      <c r="L17" s="153" t="s">
        <v>133</v>
      </c>
      <c r="M17" s="172">
        <v>45728.0</v>
      </c>
      <c r="N17" s="153" t="s">
        <v>166</v>
      </c>
      <c r="O17" s="156"/>
      <c r="P17" s="176"/>
      <c r="Q17" s="157"/>
      <c r="R17" s="177"/>
      <c r="S17" s="177"/>
      <c r="T17" s="177"/>
      <c r="U17" s="177"/>
      <c r="V17" s="177"/>
      <c r="W17" s="177"/>
      <c r="X17" s="177"/>
      <c r="Y17" s="177"/>
      <c r="Z17" s="177"/>
    </row>
    <row r="18" ht="43.5" customHeight="1" outlineLevel="1">
      <c r="A18" s="153" t="s">
        <v>252</v>
      </c>
      <c r="B18" s="153" t="s">
        <v>253</v>
      </c>
      <c r="C18" s="171" t="s">
        <v>254</v>
      </c>
      <c r="D18" s="153" t="s">
        <v>255</v>
      </c>
      <c r="E18" s="153" t="s">
        <v>251</v>
      </c>
      <c r="F18" s="153" t="s">
        <v>133</v>
      </c>
      <c r="G18" s="172">
        <v>45669.0</v>
      </c>
      <c r="H18" s="153" t="s">
        <v>4</v>
      </c>
      <c r="I18" s="153" t="s">
        <v>133</v>
      </c>
      <c r="J18" s="172">
        <v>45728.0</v>
      </c>
      <c r="K18" s="153" t="s">
        <v>165</v>
      </c>
      <c r="L18" s="153" t="s">
        <v>133</v>
      </c>
      <c r="M18" s="172">
        <v>45728.0</v>
      </c>
      <c r="N18" s="153" t="s">
        <v>166</v>
      </c>
      <c r="O18" s="156"/>
      <c r="P18" s="176"/>
      <c r="Q18" s="157"/>
      <c r="R18" s="177"/>
      <c r="S18" s="177"/>
      <c r="T18" s="177"/>
      <c r="U18" s="177"/>
      <c r="V18" s="177"/>
      <c r="W18" s="177"/>
      <c r="X18" s="177"/>
      <c r="Y18" s="177"/>
      <c r="Z18" s="177"/>
    </row>
    <row r="19" ht="43.5" customHeight="1" outlineLevel="1">
      <c r="A19" s="153" t="s">
        <v>256</v>
      </c>
      <c r="B19" s="153" t="s">
        <v>257</v>
      </c>
      <c r="C19" s="171" t="s">
        <v>258</v>
      </c>
      <c r="D19" s="153" t="s">
        <v>259</v>
      </c>
      <c r="E19" s="153" t="s">
        <v>251</v>
      </c>
      <c r="F19" s="153" t="s">
        <v>133</v>
      </c>
      <c r="G19" s="172">
        <v>45669.0</v>
      </c>
      <c r="H19" s="153" t="s">
        <v>4</v>
      </c>
      <c r="I19" s="153" t="s">
        <v>133</v>
      </c>
      <c r="J19" s="172">
        <v>45728.0</v>
      </c>
      <c r="K19" s="153" t="s">
        <v>165</v>
      </c>
      <c r="L19" s="153" t="s">
        <v>133</v>
      </c>
      <c r="M19" s="172">
        <v>45728.0</v>
      </c>
      <c r="N19" s="153" t="s">
        <v>166</v>
      </c>
      <c r="O19" s="156"/>
      <c r="P19" s="176"/>
      <c r="Q19" s="157"/>
      <c r="R19" s="177"/>
      <c r="S19" s="177"/>
      <c r="T19" s="177"/>
      <c r="U19" s="177"/>
      <c r="V19" s="177"/>
      <c r="W19" s="177"/>
      <c r="X19" s="177"/>
      <c r="Y19" s="177"/>
      <c r="Z19" s="177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21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21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21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21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21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21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1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1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1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1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1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1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1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1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1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1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1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1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1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1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1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1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1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1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1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1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1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1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1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1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1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1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1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1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1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1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1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1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1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1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1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1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1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1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1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1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1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1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1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1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1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1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1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1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1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1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1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1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1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1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1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1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1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1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1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1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1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1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1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1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1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1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1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1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1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1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1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1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1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1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1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1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1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1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1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1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1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1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1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1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1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1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1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1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1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1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1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1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1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1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1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1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1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1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1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1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1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1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1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1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1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1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1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1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1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1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1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1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1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1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1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1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1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1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1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1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1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1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1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1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1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1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1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1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1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1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1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1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1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1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1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1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1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1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1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1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1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1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1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1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1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1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1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1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1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1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1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1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1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1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1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1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1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1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1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1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1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1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1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1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1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1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1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1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1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1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1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1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1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1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1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1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1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1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1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1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1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1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1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1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1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1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1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1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1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1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1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1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1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1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1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1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1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1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1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1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1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1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1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1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1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1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1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1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1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1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1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1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1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1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1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1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1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1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1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1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1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1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1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1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1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1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1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1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1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1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1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1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1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1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1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1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1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1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1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1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1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1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1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1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1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1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1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1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1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1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1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1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1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1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1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1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1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1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1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1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1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1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1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1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1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1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1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1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1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1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1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1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1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1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1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1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1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1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1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1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1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1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1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1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1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1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1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1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1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1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1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1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1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1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1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1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1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1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1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1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1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1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1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1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1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1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1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1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1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1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1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1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1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1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1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1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1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1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1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1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1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1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1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1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1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1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1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1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1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1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1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1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1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1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1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1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1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1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1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1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1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1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1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1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1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1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1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1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1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1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1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1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1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1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1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1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1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1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1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1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1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1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1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1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1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1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1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1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1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1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1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1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1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1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1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1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1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1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1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1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1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1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1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1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1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1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1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1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1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1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1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1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1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1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1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1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1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1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1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1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1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1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1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1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1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1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1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1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1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1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1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1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1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1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1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1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1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1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1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1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1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1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1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1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1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1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1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1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1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1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1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1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1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1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1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1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1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1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1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1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1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1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1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1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1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1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1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1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1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1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1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1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1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1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1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1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1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1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1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1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1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1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1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1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1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1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1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1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1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1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1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1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1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1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1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1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1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1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1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1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1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1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1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1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1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1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1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1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1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1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1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1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1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1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1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1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1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1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1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1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1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1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1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1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1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1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1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1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1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1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1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1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1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1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1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1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1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1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1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1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1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1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1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1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1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1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1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1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1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1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1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1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1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1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1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1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1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1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1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1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1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1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1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1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1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1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1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1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1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1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1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1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1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1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1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1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1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1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1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1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1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1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1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1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1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1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1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1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1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1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1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1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1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1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1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1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1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1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1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1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1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1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1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1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1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1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1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1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1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1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1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1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1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1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1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1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1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1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1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1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1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1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1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1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1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1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1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1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1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1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1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1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1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1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1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1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1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1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1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1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1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1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1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1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1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1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1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1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1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1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1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1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1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1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1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1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1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1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1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1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1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1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1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1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1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1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1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1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1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1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1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1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1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1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1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1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1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1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1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1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1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1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1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1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1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1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1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1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1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1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1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1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1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1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1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1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1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1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1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1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1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1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1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1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1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1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1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1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1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1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1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1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1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1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1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1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1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1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1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1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1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1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1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1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1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1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1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1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1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1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1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1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1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1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1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1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1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1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1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1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1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1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1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1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1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1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1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1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1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1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1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1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1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1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1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1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1"/>
      <c r="R977" s="10"/>
      <c r="S977" s="10"/>
      <c r="T977" s="10"/>
      <c r="U977" s="10"/>
      <c r="V977" s="10"/>
      <c r="W977" s="10"/>
      <c r="X977" s="10"/>
      <c r="Y977" s="10"/>
      <c r="Z977" s="1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9 I12:I19 L12:L19 G20:G122 J20:J122 M20:M122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9.5" outlineLevel="1"/>
    <col customWidth="1" min="9" max="9" width="9.38"/>
    <col customWidth="1" min="10" max="10" width="10.63" outlineLevel="1"/>
    <col customWidth="1" min="11" max="11" width="9.25" outlineLevel="1"/>
    <col customWidth="1" min="12" max="12" width="9.38"/>
    <col customWidth="1" min="13" max="13" width="10.63" outlineLevel="1"/>
    <col customWidth="1" min="14" max="14" width="10.88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2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22" t="s">
        <v>145</v>
      </c>
      <c r="B2" s="123" t="s">
        <v>39</v>
      </c>
      <c r="C2" s="124"/>
      <c r="D2" s="124"/>
      <c r="E2" s="125"/>
      <c r="F2" s="126"/>
      <c r="G2" s="127"/>
      <c r="H2" s="50"/>
      <c r="I2" s="126"/>
      <c r="J2" s="127"/>
      <c r="K2" s="50"/>
      <c r="L2" s="126"/>
      <c r="M2" s="127"/>
      <c r="N2" s="50"/>
      <c r="O2" s="50"/>
      <c r="P2" s="50"/>
      <c r="Q2" s="128"/>
      <c r="R2" s="129" t="s">
        <v>133</v>
      </c>
      <c r="S2" s="129"/>
      <c r="T2" s="129"/>
      <c r="U2" s="129"/>
      <c r="V2" s="129"/>
      <c r="W2" s="129"/>
      <c r="X2" s="129"/>
      <c r="Y2" s="129"/>
      <c r="Z2" s="129"/>
    </row>
    <row r="3" ht="12.75" customHeight="1">
      <c r="A3" s="130" t="s">
        <v>146</v>
      </c>
      <c r="B3" s="131" t="s">
        <v>260</v>
      </c>
      <c r="C3" s="5"/>
      <c r="D3" s="5"/>
      <c r="E3" s="132"/>
      <c r="F3" s="126"/>
      <c r="G3" s="127"/>
      <c r="H3" s="50"/>
      <c r="I3" s="126"/>
      <c r="J3" s="127"/>
      <c r="K3" s="50"/>
      <c r="L3" s="126"/>
      <c r="M3" s="127"/>
      <c r="N3" s="50"/>
      <c r="O3" s="50"/>
      <c r="P3" s="50"/>
      <c r="Q3" s="128"/>
      <c r="R3" s="129" t="s">
        <v>134</v>
      </c>
      <c r="S3" s="129"/>
      <c r="T3" s="129"/>
      <c r="U3" s="129"/>
      <c r="V3" s="129"/>
      <c r="W3" s="129"/>
      <c r="X3" s="129"/>
      <c r="Y3" s="129"/>
      <c r="Z3" s="129"/>
    </row>
    <row r="4" ht="18.0" customHeight="1">
      <c r="A4" s="130" t="s">
        <v>147</v>
      </c>
      <c r="B4" s="133">
        <f>COUNTIF(A11:A314, "OR*")</f>
        <v>10</v>
      </c>
      <c r="C4" s="5"/>
      <c r="D4" s="5"/>
      <c r="E4" s="132"/>
      <c r="F4" s="126"/>
      <c r="G4" s="127"/>
      <c r="H4" s="50"/>
      <c r="I4" s="126"/>
      <c r="J4" s="127"/>
      <c r="K4" s="50"/>
      <c r="L4" s="126"/>
      <c r="M4" s="127"/>
      <c r="N4" s="50"/>
      <c r="O4" s="50"/>
      <c r="P4" s="50"/>
      <c r="Q4" s="128"/>
      <c r="R4" s="129" t="s">
        <v>135</v>
      </c>
      <c r="S4" s="129"/>
      <c r="T4" s="129"/>
      <c r="U4" s="129"/>
      <c r="V4" s="129"/>
      <c r="W4" s="129"/>
      <c r="X4" s="129"/>
      <c r="Y4" s="129"/>
      <c r="Z4" s="129"/>
    </row>
    <row r="5" ht="19.5" customHeight="1">
      <c r="A5" s="134" t="s">
        <v>148</v>
      </c>
      <c r="B5" s="135" t="s">
        <v>133</v>
      </c>
      <c r="C5" s="135" t="s">
        <v>134</v>
      </c>
      <c r="D5" s="135" t="s">
        <v>135</v>
      </c>
      <c r="E5" s="136" t="s">
        <v>136</v>
      </c>
      <c r="F5" s="137"/>
      <c r="G5" s="137"/>
      <c r="H5" s="138"/>
      <c r="I5" s="137"/>
      <c r="J5" s="137"/>
      <c r="K5" s="138"/>
      <c r="L5" s="137"/>
      <c r="M5" s="137"/>
      <c r="N5" s="138"/>
      <c r="O5" s="138"/>
      <c r="P5" s="138"/>
      <c r="Q5" s="139"/>
      <c r="R5" s="129" t="s">
        <v>136</v>
      </c>
      <c r="S5" s="129"/>
      <c r="T5" s="129"/>
      <c r="U5" s="129"/>
      <c r="V5" s="129"/>
      <c r="W5" s="129"/>
      <c r="X5" s="129"/>
      <c r="Y5" s="129"/>
      <c r="Z5" s="129"/>
    </row>
    <row r="6" ht="15.0" customHeight="1">
      <c r="A6" s="134" t="s">
        <v>149</v>
      </c>
      <c r="B6" s="140">
        <f t="shared" ref="B6:E6" si="1">COUNTIF($F10:$F997,B5)</f>
        <v>10</v>
      </c>
      <c r="C6" s="140">
        <f t="shared" si="1"/>
        <v>0</v>
      </c>
      <c r="D6" s="140">
        <f t="shared" si="1"/>
        <v>0</v>
      </c>
      <c r="E6" s="141">
        <f t="shared" si="1"/>
        <v>0</v>
      </c>
      <c r="F6" s="142"/>
      <c r="G6" s="142"/>
      <c r="H6" s="138"/>
      <c r="I6" s="142"/>
      <c r="J6" s="142"/>
      <c r="K6" s="138"/>
      <c r="L6" s="142"/>
      <c r="M6" s="142"/>
      <c r="N6" s="138"/>
      <c r="O6" s="138"/>
      <c r="P6" s="138"/>
      <c r="Q6" s="139"/>
      <c r="R6" s="129"/>
      <c r="S6" s="129"/>
      <c r="T6" s="129"/>
      <c r="U6" s="129"/>
      <c r="V6" s="129"/>
      <c r="W6" s="129"/>
      <c r="X6" s="129"/>
      <c r="Y6" s="129"/>
      <c r="Z6" s="129"/>
    </row>
    <row r="7" ht="15.0" customHeight="1">
      <c r="A7" s="134" t="s">
        <v>150</v>
      </c>
      <c r="B7" s="140">
        <f t="shared" ref="B7:E7" si="2">COUNTIF($F10:$F997,B5)</f>
        <v>10</v>
      </c>
      <c r="C7" s="140">
        <f t="shared" si="2"/>
        <v>0</v>
      </c>
      <c r="D7" s="140">
        <f t="shared" si="2"/>
        <v>0</v>
      </c>
      <c r="E7" s="141">
        <f t="shared" si="2"/>
        <v>0</v>
      </c>
      <c r="F7" s="142"/>
      <c r="G7" s="142"/>
      <c r="H7" s="138"/>
      <c r="I7" s="142"/>
      <c r="J7" s="142"/>
      <c r="K7" s="138"/>
      <c r="L7" s="142"/>
      <c r="M7" s="142"/>
      <c r="N7" s="138"/>
      <c r="O7" s="138"/>
      <c r="P7" s="138"/>
      <c r="Q7" s="139"/>
      <c r="R7" s="129"/>
      <c r="S7" s="129"/>
      <c r="T7" s="129"/>
      <c r="U7" s="129"/>
      <c r="V7" s="129"/>
      <c r="W7" s="129"/>
      <c r="X7" s="129"/>
      <c r="Y7" s="129"/>
      <c r="Z7" s="129"/>
    </row>
    <row r="8" ht="15.0" customHeight="1">
      <c r="A8" s="143" t="s">
        <v>151</v>
      </c>
      <c r="B8" s="144">
        <f t="shared" ref="B8:E8" si="3">COUNTIF($F10:$F997,B5)</f>
        <v>10</v>
      </c>
      <c r="C8" s="144">
        <f t="shared" si="3"/>
        <v>0</v>
      </c>
      <c r="D8" s="144">
        <f t="shared" si="3"/>
        <v>0</v>
      </c>
      <c r="E8" s="145">
        <f t="shared" si="3"/>
        <v>0</v>
      </c>
      <c r="F8" s="142"/>
      <c r="G8" s="142"/>
      <c r="H8" s="138"/>
      <c r="I8" s="142"/>
      <c r="J8" s="142"/>
      <c r="K8" s="138"/>
      <c r="L8" s="142"/>
      <c r="M8" s="142"/>
      <c r="N8" s="138"/>
      <c r="O8" s="138"/>
      <c r="P8" s="138"/>
      <c r="Q8" s="139"/>
      <c r="R8" s="129"/>
      <c r="S8" s="129"/>
      <c r="T8" s="129"/>
      <c r="U8" s="129"/>
      <c r="V8" s="129"/>
      <c r="W8" s="129"/>
      <c r="X8" s="129"/>
      <c r="Y8" s="129"/>
      <c r="Z8" s="129"/>
    </row>
    <row r="9" ht="15.0" customHeight="1">
      <c r="A9" s="138"/>
      <c r="B9" s="138"/>
      <c r="C9" s="138"/>
      <c r="D9" s="138"/>
      <c r="E9" s="138"/>
      <c r="F9" s="120"/>
      <c r="G9" s="138"/>
      <c r="H9" s="138"/>
      <c r="I9" s="120"/>
      <c r="J9" s="138"/>
      <c r="K9" s="138"/>
      <c r="L9" s="120"/>
      <c r="M9" s="138"/>
      <c r="N9" s="138"/>
      <c r="O9" s="138"/>
      <c r="P9" s="138"/>
      <c r="Q9" s="139"/>
      <c r="R9" s="129"/>
      <c r="S9" s="129"/>
      <c r="T9" s="129"/>
      <c r="U9" s="129"/>
      <c r="V9" s="129"/>
      <c r="W9" s="129"/>
      <c r="X9" s="129"/>
      <c r="Y9" s="129"/>
      <c r="Z9" s="129"/>
    </row>
    <row r="10" ht="25.5" customHeight="1">
      <c r="A10" s="146" t="s">
        <v>152</v>
      </c>
      <c r="B10" s="146" t="s">
        <v>153</v>
      </c>
      <c r="C10" s="146" t="s">
        <v>154</v>
      </c>
      <c r="D10" s="146" t="s">
        <v>155</v>
      </c>
      <c r="E10" s="146" t="s">
        <v>156</v>
      </c>
      <c r="F10" s="146" t="s">
        <v>149</v>
      </c>
      <c r="G10" s="146" t="s">
        <v>157</v>
      </c>
      <c r="H10" s="146" t="s">
        <v>158</v>
      </c>
      <c r="I10" s="146" t="s">
        <v>150</v>
      </c>
      <c r="J10" s="146" t="s">
        <v>157</v>
      </c>
      <c r="K10" s="146" t="s">
        <v>158</v>
      </c>
      <c r="L10" s="146" t="s">
        <v>151</v>
      </c>
      <c r="M10" s="146" t="s">
        <v>157</v>
      </c>
      <c r="N10" s="146" t="s">
        <v>158</v>
      </c>
      <c r="O10" s="146" t="s">
        <v>159</v>
      </c>
      <c r="P10" s="129"/>
      <c r="Q10" s="147"/>
      <c r="R10" s="129"/>
      <c r="S10" s="129"/>
      <c r="T10" s="129"/>
      <c r="U10" s="129"/>
      <c r="V10" s="129"/>
      <c r="W10" s="129"/>
      <c r="X10" s="129"/>
      <c r="Y10" s="129"/>
      <c r="Z10" s="129"/>
    </row>
    <row r="11" ht="15.75" customHeight="1">
      <c r="A11" s="159" t="s">
        <v>261</v>
      </c>
      <c r="B11" s="160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3"/>
      <c r="P11" s="129"/>
      <c r="Q11" s="152"/>
      <c r="R11" s="129"/>
      <c r="S11" s="129"/>
      <c r="T11" s="129"/>
      <c r="U11" s="129"/>
      <c r="V11" s="129"/>
      <c r="W11" s="129"/>
      <c r="X11" s="129"/>
      <c r="Y11" s="129"/>
      <c r="Z11" s="129"/>
    </row>
    <row r="12" ht="12.75" customHeight="1" outlineLevel="1">
      <c r="A12" s="153" t="s">
        <v>262</v>
      </c>
      <c r="B12" s="153" t="s">
        <v>263</v>
      </c>
      <c r="C12" s="178" t="s">
        <v>264</v>
      </c>
      <c r="D12" s="153" t="s">
        <v>265</v>
      </c>
      <c r="E12" s="153" t="s">
        <v>136</v>
      </c>
      <c r="F12" s="153" t="s">
        <v>133</v>
      </c>
      <c r="G12" s="153" t="s">
        <v>17</v>
      </c>
      <c r="H12" s="153" t="s">
        <v>4</v>
      </c>
      <c r="I12" s="153" t="s">
        <v>133</v>
      </c>
      <c r="J12" s="153" t="s">
        <v>17</v>
      </c>
      <c r="K12" s="153" t="s">
        <v>165</v>
      </c>
      <c r="L12" s="153" t="s">
        <v>133</v>
      </c>
      <c r="M12" s="153" t="s">
        <v>17</v>
      </c>
      <c r="N12" s="153" t="s">
        <v>166</v>
      </c>
      <c r="O12" s="156"/>
      <c r="P12" s="68"/>
      <c r="Q12" s="157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 outlineLevel="1">
      <c r="A13" s="153" t="s">
        <v>266</v>
      </c>
      <c r="B13" s="153" t="s">
        <v>267</v>
      </c>
      <c r="C13" s="178" t="s">
        <v>268</v>
      </c>
      <c r="D13" s="153" t="s">
        <v>269</v>
      </c>
      <c r="E13" s="153" t="s">
        <v>136</v>
      </c>
      <c r="F13" s="153" t="s">
        <v>133</v>
      </c>
      <c r="G13" s="153" t="s">
        <v>17</v>
      </c>
      <c r="H13" s="153" t="s">
        <v>4</v>
      </c>
      <c r="I13" s="153" t="s">
        <v>133</v>
      </c>
      <c r="J13" s="153" t="s">
        <v>17</v>
      </c>
      <c r="K13" s="153" t="s">
        <v>165</v>
      </c>
      <c r="L13" s="153" t="s">
        <v>133</v>
      </c>
      <c r="M13" s="153" t="s">
        <v>17</v>
      </c>
      <c r="N13" s="153" t="s">
        <v>166</v>
      </c>
      <c r="O13" s="75"/>
      <c r="P13" s="68"/>
      <c r="Q13" s="121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 outlineLevel="1">
      <c r="A14" s="153" t="s">
        <v>270</v>
      </c>
      <c r="B14" s="153" t="s">
        <v>271</v>
      </c>
      <c r="C14" s="178" t="s">
        <v>272</v>
      </c>
      <c r="D14" s="153" t="s">
        <v>273</v>
      </c>
      <c r="E14" s="153" t="s">
        <v>136</v>
      </c>
      <c r="F14" s="153" t="s">
        <v>133</v>
      </c>
      <c r="G14" s="153" t="s">
        <v>17</v>
      </c>
      <c r="H14" s="153" t="s">
        <v>4</v>
      </c>
      <c r="I14" s="153" t="s">
        <v>133</v>
      </c>
      <c r="J14" s="153" t="s">
        <v>17</v>
      </c>
      <c r="K14" s="153" t="s">
        <v>165</v>
      </c>
      <c r="L14" s="153" t="s">
        <v>133</v>
      </c>
      <c r="M14" s="153" t="s">
        <v>17</v>
      </c>
      <c r="N14" s="153" t="s">
        <v>166</v>
      </c>
      <c r="O14" s="75"/>
      <c r="P14" s="68"/>
      <c r="Q14" s="121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 outlineLevel="1">
      <c r="A15" s="153" t="s">
        <v>274</v>
      </c>
      <c r="B15" s="156" t="s">
        <v>275</v>
      </c>
      <c r="C15" s="153" t="s">
        <v>276</v>
      </c>
      <c r="D15" s="155" t="s">
        <v>277</v>
      </c>
      <c r="E15" s="153" t="s">
        <v>136</v>
      </c>
      <c r="F15" s="153" t="s">
        <v>133</v>
      </c>
      <c r="G15" s="153" t="s">
        <v>17</v>
      </c>
      <c r="H15" s="153" t="s">
        <v>4</v>
      </c>
      <c r="I15" s="153" t="s">
        <v>133</v>
      </c>
      <c r="J15" s="153" t="s">
        <v>17</v>
      </c>
      <c r="K15" s="153" t="s">
        <v>165</v>
      </c>
      <c r="L15" s="153" t="s">
        <v>133</v>
      </c>
      <c r="M15" s="153" t="s">
        <v>17</v>
      </c>
      <c r="N15" s="153" t="s">
        <v>166</v>
      </c>
      <c r="O15" s="156"/>
      <c r="P15" s="10"/>
      <c r="Q15" s="157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 outlineLevel="1">
      <c r="A16" s="153" t="s">
        <v>278</v>
      </c>
      <c r="B16" s="153" t="s">
        <v>279</v>
      </c>
      <c r="C16" s="179" t="s">
        <v>280</v>
      </c>
      <c r="D16" s="155" t="s">
        <v>281</v>
      </c>
      <c r="E16" s="153" t="s">
        <v>136</v>
      </c>
      <c r="F16" s="153" t="s">
        <v>133</v>
      </c>
      <c r="G16" s="153" t="s">
        <v>17</v>
      </c>
      <c r="H16" s="153" t="s">
        <v>4</v>
      </c>
      <c r="I16" s="153" t="s">
        <v>133</v>
      </c>
      <c r="J16" s="153" t="s">
        <v>17</v>
      </c>
      <c r="K16" s="153" t="s">
        <v>165</v>
      </c>
      <c r="L16" s="153" t="s">
        <v>133</v>
      </c>
      <c r="M16" s="153" t="s">
        <v>17</v>
      </c>
      <c r="N16" s="153" t="s">
        <v>166</v>
      </c>
      <c r="O16" s="156"/>
      <c r="P16" s="10"/>
      <c r="Q16" s="157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 outlineLevel="1">
      <c r="A17" s="153" t="s">
        <v>282</v>
      </c>
      <c r="B17" s="153" t="s">
        <v>283</v>
      </c>
      <c r="C17" s="179" t="s">
        <v>284</v>
      </c>
      <c r="D17" s="155" t="s">
        <v>285</v>
      </c>
      <c r="E17" s="153" t="s">
        <v>136</v>
      </c>
      <c r="F17" s="153" t="s">
        <v>133</v>
      </c>
      <c r="G17" s="153" t="s">
        <v>17</v>
      </c>
      <c r="H17" s="153" t="s">
        <v>4</v>
      </c>
      <c r="I17" s="153" t="s">
        <v>133</v>
      </c>
      <c r="J17" s="153" t="s">
        <v>17</v>
      </c>
      <c r="K17" s="153" t="s">
        <v>165</v>
      </c>
      <c r="L17" s="153" t="s">
        <v>133</v>
      </c>
      <c r="M17" s="153" t="s">
        <v>17</v>
      </c>
      <c r="N17" s="153" t="s">
        <v>166</v>
      </c>
      <c r="O17" s="156"/>
      <c r="P17" s="10"/>
      <c r="Q17" s="157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 outlineLevel="1">
      <c r="A18" s="153" t="s">
        <v>286</v>
      </c>
      <c r="B18" s="153" t="s">
        <v>287</v>
      </c>
      <c r="C18" s="179" t="s">
        <v>288</v>
      </c>
      <c r="D18" s="155" t="s">
        <v>289</v>
      </c>
      <c r="E18" s="153" t="s">
        <v>136</v>
      </c>
      <c r="F18" s="153" t="s">
        <v>133</v>
      </c>
      <c r="G18" s="153" t="s">
        <v>17</v>
      </c>
      <c r="H18" s="153" t="s">
        <v>4</v>
      </c>
      <c r="I18" s="153" t="s">
        <v>133</v>
      </c>
      <c r="J18" s="153" t="s">
        <v>17</v>
      </c>
      <c r="K18" s="153" t="s">
        <v>165</v>
      </c>
      <c r="L18" s="153" t="s">
        <v>133</v>
      </c>
      <c r="M18" s="153" t="s">
        <v>17</v>
      </c>
      <c r="N18" s="153" t="s">
        <v>166</v>
      </c>
      <c r="O18" s="156"/>
      <c r="P18" s="10"/>
      <c r="Q18" s="157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159" t="s">
        <v>290</v>
      </c>
      <c r="B19" s="160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3"/>
      <c r="P19" s="129"/>
      <c r="Q19" s="152"/>
      <c r="R19" s="129"/>
      <c r="S19" s="129"/>
      <c r="T19" s="129"/>
      <c r="U19" s="129"/>
      <c r="V19" s="129"/>
      <c r="W19" s="129"/>
      <c r="X19" s="129"/>
      <c r="Y19" s="129"/>
      <c r="Z19" s="129"/>
    </row>
    <row r="20" ht="12.75" customHeight="1" outlineLevel="1">
      <c r="A20" s="153" t="s">
        <v>291</v>
      </c>
      <c r="B20" s="158" t="s">
        <v>292</v>
      </c>
      <c r="C20" s="179" t="s">
        <v>293</v>
      </c>
      <c r="D20" s="153" t="s">
        <v>294</v>
      </c>
      <c r="E20" s="153" t="s">
        <v>136</v>
      </c>
      <c r="F20" s="153" t="s">
        <v>133</v>
      </c>
      <c r="G20" s="153" t="s">
        <v>17</v>
      </c>
      <c r="H20" s="153" t="s">
        <v>4</v>
      </c>
      <c r="I20" s="153" t="s">
        <v>133</v>
      </c>
      <c r="J20" s="153" t="s">
        <v>17</v>
      </c>
      <c r="K20" s="153" t="s">
        <v>165</v>
      </c>
      <c r="L20" s="153" t="s">
        <v>133</v>
      </c>
      <c r="M20" s="153" t="s">
        <v>17</v>
      </c>
      <c r="N20" s="153" t="s">
        <v>166</v>
      </c>
      <c r="O20" s="75"/>
      <c r="P20" s="68"/>
      <c r="Q20" s="121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 outlineLevel="1">
      <c r="A21" s="153" t="s">
        <v>295</v>
      </c>
      <c r="B21" s="158" t="s">
        <v>296</v>
      </c>
      <c r="C21" s="179" t="s">
        <v>297</v>
      </c>
      <c r="D21" s="153" t="s">
        <v>298</v>
      </c>
      <c r="E21" s="153" t="s">
        <v>136</v>
      </c>
      <c r="F21" s="153" t="s">
        <v>133</v>
      </c>
      <c r="G21" s="153" t="s">
        <v>17</v>
      </c>
      <c r="H21" s="153" t="s">
        <v>4</v>
      </c>
      <c r="I21" s="153" t="s">
        <v>133</v>
      </c>
      <c r="J21" s="153" t="s">
        <v>17</v>
      </c>
      <c r="K21" s="153" t="s">
        <v>165</v>
      </c>
      <c r="L21" s="153" t="s">
        <v>133</v>
      </c>
      <c r="M21" s="153" t="s">
        <v>17</v>
      </c>
      <c r="N21" s="153" t="s">
        <v>166</v>
      </c>
      <c r="O21" s="75"/>
      <c r="P21" s="68"/>
      <c r="Q21" s="121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48" t="s">
        <v>299</v>
      </c>
      <c r="B22" s="160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3"/>
      <c r="P22" s="129"/>
      <c r="Q22" s="152"/>
      <c r="R22" s="129"/>
      <c r="S22" s="129"/>
      <c r="T22" s="129"/>
      <c r="U22" s="129"/>
      <c r="V22" s="129"/>
      <c r="W22" s="129"/>
      <c r="X22" s="129"/>
      <c r="Y22" s="129"/>
      <c r="Z22" s="129"/>
    </row>
    <row r="23" ht="12.75" customHeight="1" outlineLevel="1">
      <c r="A23" s="153" t="s">
        <v>300</v>
      </c>
      <c r="B23" s="153" t="s">
        <v>301</v>
      </c>
      <c r="C23" s="179" t="s">
        <v>302</v>
      </c>
      <c r="D23" s="153" t="s">
        <v>303</v>
      </c>
      <c r="E23" s="153" t="s">
        <v>304</v>
      </c>
      <c r="F23" s="153" t="s">
        <v>133</v>
      </c>
      <c r="G23" s="153" t="s">
        <v>17</v>
      </c>
      <c r="H23" s="153" t="s">
        <v>4</v>
      </c>
      <c r="I23" s="153" t="s">
        <v>133</v>
      </c>
      <c r="J23" s="153" t="s">
        <v>17</v>
      </c>
      <c r="K23" s="153" t="s">
        <v>165</v>
      </c>
      <c r="L23" s="153" t="s">
        <v>133</v>
      </c>
      <c r="M23" s="153" t="s">
        <v>17</v>
      </c>
      <c r="N23" s="153" t="s">
        <v>166</v>
      </c>
      <c r="O23" s="75"/>
      <c r="P23" s="68"/>
      <c r="Q23" s="121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21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21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1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1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1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1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1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1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1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1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1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1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1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1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1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1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1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1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1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1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1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1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1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1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1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1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1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1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1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1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1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1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1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1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1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1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1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1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1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1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1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1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1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1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1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1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1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1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1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1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1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1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1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1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1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1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1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1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1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1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1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1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1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1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1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1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1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1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1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1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1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1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1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1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1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1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1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1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1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1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1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1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1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1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1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1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1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1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1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1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1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1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1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1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1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1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1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1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1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1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1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1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1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1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1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1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1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1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1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1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1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1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1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1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1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1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1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1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1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1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1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1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1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1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1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1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1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1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1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1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1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1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1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1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1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1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1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1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1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1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1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1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1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1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1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1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1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1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1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1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1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1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1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1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1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1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1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1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1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1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1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1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1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1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1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1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1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1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1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1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1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1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1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1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1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1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1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1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1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1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1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1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1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1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1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1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1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1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1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1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1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1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1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1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1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1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1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1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1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1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1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1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1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1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1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1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1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1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1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1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1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1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1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1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1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1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1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1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1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1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1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1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1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1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1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1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1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1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1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1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1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1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1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1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1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1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1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1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1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1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1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1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1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1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1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1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1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1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1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1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1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1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1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1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1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1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1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1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1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1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1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1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1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1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1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1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1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1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1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1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1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1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1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1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1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1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1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1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1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1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1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1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1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1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1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1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1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1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1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1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1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1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1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1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1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1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1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1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1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1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1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1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1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1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1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1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1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1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1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1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1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1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1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1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1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1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1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1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1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1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1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1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1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1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1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1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1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1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1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1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1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1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1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1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1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1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1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1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1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1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1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1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1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1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1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1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1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1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1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1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1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1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1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1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1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1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1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1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1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1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1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1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1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1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1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1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1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1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1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1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1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1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1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1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1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1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1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1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1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1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1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1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1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1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1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1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1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1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1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1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1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1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1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1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1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1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1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1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1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1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1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1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1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1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1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1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1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1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1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1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1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1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1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1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1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1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1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1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1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1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1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1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1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1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1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1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1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1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1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1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1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1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1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1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1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1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1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1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1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1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1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1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1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1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1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1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1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1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1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1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1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1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1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1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1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1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1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1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1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1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1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1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1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1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1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1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1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1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1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1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1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1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1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1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1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1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1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1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1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1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1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1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1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1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1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1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1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1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1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1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1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1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1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1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1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1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1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1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1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1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1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1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1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1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1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1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1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1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1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1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1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1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1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1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1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1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1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1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1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1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1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1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1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1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1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1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1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1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1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1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1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1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1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1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1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1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1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1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1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1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1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1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1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1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1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1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1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1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1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1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1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1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1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1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1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1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1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1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1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1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1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1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1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1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1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1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1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1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1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1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1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1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1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1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1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1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1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1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1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1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1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1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1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1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1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1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1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1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1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1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1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1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1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1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1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1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1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1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1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1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1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1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1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1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1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1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1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1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1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1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1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1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1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1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1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1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1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1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1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1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1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1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1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1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1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1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1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1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1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1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1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1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1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1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1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1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1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1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1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1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1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1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1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1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1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1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1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1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1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1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1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1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1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1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1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1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1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1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1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1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1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1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1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1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1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1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1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1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1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1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1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1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1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1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1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1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1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1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1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1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1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1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1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1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1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1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1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1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1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1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1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1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1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1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1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1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1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1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1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1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1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1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1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1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1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1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1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1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1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1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1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1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1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1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1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1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1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1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1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1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1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1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1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1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1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1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1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1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1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1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1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1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1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1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1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1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1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1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1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1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1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1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1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1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1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1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1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1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1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1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1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1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1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21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21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21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21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21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21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21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21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21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21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8 I12:I18 L12:L18 F20:F21 I20:I21 L20:L21 F23 I23 L23 G24:G146 J24:J146 M24:M146">
      <formula1>$R$2:$R$5</formula1>
    </dataValidation>
  </dataValidations>
  <hyperlinks>
    <hyperlink r:id="rId2" ref="C12"/>
    <hyperlink r:id="rId3" ref="C13"/>
    <hyperlink r:id="rId4" ref="C14"/>
    <hyperlink r:id="rId5" ref="C16"/>
    <hyperlink r:id="rId6" ref="C17"/>
    <hyperlink r:id="rId7" ref="C18"/>
    <hyperlink r:id="rId8" ref="C20"/>
    <hyperlink r:id="rId9" ref="C21"/>
    <hyperlink r:id="rId10" ref="C23"/>
  </hyperlink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1"/>
  <legacy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9.5" outlineLevel="1"/>
    <col customWidth="1" min="8" max="8" width="9.25" outlineLevel="1"/>
    <col customWidth="1" min="9" max="9" width="9.38"/>
    <col customWidth="1" min="10" max="10" width="10.63" outlineLevel="1"/>
    <col customWidth="1" min="11" max="11" width="9.63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2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22" t="s">
        <v>145</v>
      </c>
      <c r="B2" s="123" t="s">
        <v>51</v>
      </c>
      <c r="C2" s="124"/>
      <c r="D2" s="124"/>
      <c r="E2" s="125"/>
      <c r="F2" s="126"/>
      <c r="G2" s="127"/>
      <c r="H2" s="50"/>
      <c r="I2" s="126"/>
      <c r="J2" s="127"/>
      <c r="K2" s="50"/>
      <c r="L2" s="126"/>
      <c r="M2" s="127"/>
      <c r="N2" s="50"/>
      <c r="O2" s="50"/>
      <c r="P2" s="50"/>
      <c r="Q2" s="128"/>
      <c r="R2" s="129" t="s">
        <v>133</v>
      </c>
      <c r="S2" s="129"/>
      <c r="T2" s="129"/>
      <c r="U2" s="129"/>
      <c r="V2" s="129"/>
      <c r="W2" s="129"/>
      <c r="X2" s="129"/>
      <c r="Y2" s="129"/>
      <c r="Z2" s="129"/>
    </row>
    <row r="3" ht="12.75" customHeight="1">
      <c r="A3" s="130" t="s">
        <v>146</v>
      </c>
      <c r="B3" s="131" t="s">
        <v>305</v>
      </c>
      <c r="C3" s="5"/>
      <c r="D3" s="5"/>
      <c r="E3" s="132"/>
      <c r="F3" s="126"/>
      <c r="G3" s="127"/>
      <c r="H3" s="50"/>
      <c r="I3" s="126"/>
      <c r="J3" s="127"/>
      <c r="K3" s="50"/>
      <c r="L3" s="126"/>
      <c r="M3" s="127"/>
      <c r="N3" s="50"/>
      <c r="O3" s="50"/>
      <c r="P3" s="50"/>
      <c r="Q3" s="128"/>
      <c r="R3" s="129" t="s">
        <v>134</v>
      </c>
      <c r="S3" s="129"/>
      <c r="T3" s="129"/>
      <c r="U3" s="129"/>
      <c r="V3" s="129"/>
      <c r="W3" s="129"/>
      <c r="X3" s="129"/>
      <c r="Y3" s="129"/>
      <c r="Z3" s="129"/>
    </row>
    <row r="4" ht="18.0" customHeight="1">
      <c r="A4" s="130" t="s">
        <v>147</v>
      </c>
      <c r="B4" s="133">
        <f>COUNTIF(A11:A315, "DO*")</f>
        <v>12</v>
      </c>
      <c r="C4" s="5"/>
      <c r="D4" s="5"/>
      <c r="E4" s="132"/>
      <c r="F4" s="126"/>
      <c r="G4" s="127"/>
      <c r="H4" s="50"/>
      <c r="I4" s="126"/>
      <c r="J4" s="127"/>
      <c r="K4" s="50"/>
      <c r="L4" s="126"/>
      <c r="M4" s="127"/>
      <c r="N4" s="50"/>
      <c r="O4" s="50"/>
      <c r="P4" s="50"/>
      <c r="Q4" s="128"/>
      <c r="R4" s="129" t="s">
        <v>135</v>
      </c>
      <c r="S4" s="129"/>
      <c r="T4" s="129"/>
      <c r="U4" s="129"/>
      <c r="V4" s="129"/>
      <c r="W4" s="129"/>
      <c r="X4" s="129"/>
      <c r="Y4" s="129"/>
      <c r="Z4" s="129"/>
    </row>
    <row r="5" ht="19.5" customHeight="1">
      <c r="A5" s="134" t="s">
        <v>148</v>
      </c>
      <c r="B5" s="135" t="s">
        <v>133</v>
      </c>
      <c r="C5" s="135" t="s">
        <v>134</v>
      </c>
      <c r="D5" s="135" t="s">
        <v>135</v>
      </c>
      <c r="E5" s="136" t="s">
        <v>136</v>
      </c>
      <c r="F5" s="137"/>
      <c r="G5" s="137"/>
      <c r="H5" s="138"/>
      <c r="I5" s="137"/>
      <c r="J5" s="137"/>
      <c r="K5" s="138"/>
      <c r="L5" s="137"/>
      <c r="M5" s="137"/>
      <c r="N5" s="138"/>
      <c r="O5" s="138"/>
      <c r="P5" s="138"/>
      <c r="Q5" s="139"/>
      <c r="R5" s="129" t="s">
        <v>136</v>
      </c>
      <c r="S5" s="129"/>
      <c r="T5" s="129"/>
      <c r="U5" s="129"/>
      <c r="V5" s="129"/>
      <c r="W5" s="129"/>
      <c r="X5" s="129"/>
      <c r="Y5" s="129"/>
      <c r="Z5" s="129"/>
    </row>
    <row r="6" ht="15.0" customHeight="1">
      <c r="A6" s="134" t="s">
        <v>149</v>
      </c>
      <c r="B6" s="140">
        <f t="shared" ref="B6:E6" si="1">COUNTIF($F10:$F999,B5)</f>
        <v>12</v>
      </c>
      <c r="C6" s="140">
        <f t="shared" si="1"/>
        <v>0</v>
      </c>
      <c r="D6" s="140">
        <f t="shared" si="1"/>
        <v>0</v>
      </c>
      <c r="E6" s="141">
        <f t="shared" si="1"/>
        <v>0</v>
      </c>
      <c r="F6" s="142"/>
      <c r="G6" s="142"/>
      <c r="H6" s="138"/>
      <c r="I6" s="142"/>
      <c r="J6" s="142"/>
      <c r="K6" s="138"/>
      <c r="L6" s="142"/>
      <c r="M6" s="142"/>
      <c r="N6" s="138"/>
      <c r="O6" s="138"/>
      <c r="P6" s="138"/>
      <c r="Q6" s="139"/>
      <c r="R6" s="129"/>
      <c r="S6" s="129"/>
      <c r="T6" s="129"/>
      <c r="U6" s="129"/>
      <c r="V6" s="129"/>
      <c r="W6" s="129"/>
      <c r="X6" s="129"/>
      <c r="Y6" s="129"/>
      <c r="Z6" s="129"/>
    </row>
    <row r="7" ht="15.0" customHeight="1">
      <c r="A7" s="134" t="s">
        <v>150</v>
      </c>
      <c r="B7" s="140">
        <f t="shared" ref="B7:E7" si="2">COUNTIF($F10:$F999,B5)</f>
        <v>12</v>
      </c>
      <c r="C7" s="140">
        <f t="shared" si="2"/>
        <v>0</v>
      </c>
      <c r="D7" s="140">
        <f t="shared" si="2"/>
        <v>0</v>
      </c>
      <c r="E7" s="141">
        <f t="shared" si="2"/>
        <v>0</v>
      </c>
      <c r="F7" s="142"/>
      <c r="G7" s="142"/>
      <c r="H7" s="138"/>
      <c r="I7" s="142"/>
      <c r="J7" s="142"/>
      <c r="K7" s="138"/>
      <c r="L7" s="142"/>
      <c r="M7" s="142"/>
      <c r="N7" s="138"/>
      <c r="O7" s="138"/>
      <c r="P7" s="138"/>
      <c r="Q7" s="139"/>
      <c r="R7" s="129"/>
      <c r="S7" s="129"/>
      <c r="T7" s="129"/>
      <c r="U7" s="129"/>
      <c r="V7" s="129"/>
      <c r="W7" s="129"/>
      <c r="X7" s="129"/>
      <c r="Y7" s="129"/>
      <c r="Z7" s="129"/>
    </row>
    <row r="8" ht="15.0" customHeight="1">
      <c r="A8" s="143" t="s">
        <v>151</v>
      </c>
      <c r="B8" s="144">
        <f t="shared" ref="B8:E8" si="3">COUNTIF($F10:$F999,B5)</f>
        <v>12</v>
      </c>
      <c r="C8" s="144">
        <f t="shared" si="3"/>
        <v>0</v>
      </c>
      <c r="D8" s="144">
        <f t="shared" si="3"/>
        <v>0</v>
      </c>
      <c r="E8" s="145">
        <f t="shared" si="3"/>
        <v>0</v>
      </c>
      <c r="F8" s="142"/>
      <c r="G8" s="142"/>
      <c r="H8" s="138"/>
      <c r="I8" s="142"/>
      <c r="J8" s="142"/>
      <c r="K8" s="138"/>
      <c r="L8" s="142"/>
      <c r="M8" s="142"/>
      <c r="N8" s="138"/>
      <c r="O8" s="138"/>
      <c r="P8" s="138"/>
      <c r="Q8" s="139"/>
      <c r="R8" s="129"/>
      <c r="S8" s="129"/>
      <c r="T8" s="129"/>
      <c r="U8" s="129"/>
      <c r="V8" s="129"/>
      <c r="W8" s="129"/>
      <c r="X8" s="129"/>
      <c r="Y8" s="129"/>
      <c r="Z8" s="129"/>
    </row>
    <row r="9" ht="15.0" customHeight="1">
      <c r="A9" s="138"/>
      <c r="B9" s="138"/>
      <c r="C9" s="138"/>
      <c r="D9" s="138"/>
      <c r="E9" s="138"/>
      <c r="F9" s="120"/>
      <c r="G9" s="138"/>
      <c r="H9" s="138"/>
      <c r="I9" s="120"/>
      <c r="J9" s="138"/>
      <c r="K9" s="138"/>
      <c r="L9" s="120"/>
      <c r="M9" s="138"/>
      <c r="N9" s="138"/>
      <c r="O9" s="138"/>
      <c r="P9" s="138"/>
      <c r="Q9" s="139"/>
      <c r="R9" s="129"/>
      <c r="S9" s="129"/>
      <c r="T9" s="129"/>
      <c r="U9" s="129"/>
      <c r="V9" s="129"/>
      <c r="W9" s="129"/>
      <c r="X9" s="129"/>
      <c r="Y9" s="129"/>
      <c r="Z9" s="129"/>
    </row>
    <row r="10" ht="25.5" customHeight="1">
      <c r="A10" s="146" t="s">
        <v>152</v>
      </c>
      <c r="B10" s="146" t="s">
        <v>153</v>
      </c>
      <c r="C10" s="180" t="s">
        <v>154</v>
      </c>
      <c r="D10" s="146" t="s">
        <v>155</v>
      </c>
      <c r="E10" s="146" t="s">
        <v>156</v>
      </c>
      <c r="F10" s="146" t="s">
        <v>149</v>
      </c>
      <c r="G10" s="146" t="s">
        <v>157</v>
      </c>
      <c r="H10" s="146" t="s">
        <v>158</v>
      </c>
      <c r="I10" s="146" t="s">
        <v>150</v>
      </c>
      <c r="J10" s="146" t="s">
        <v>157</v>
      </c>
      <c r="K10" s="146" t="s">
        <v>158</v>
      </c>
      <c r="L10" s="146" t="s">
        <v>151</v>
      </c>
      <c r="M10" s="146" t="s">
        <v>157</v>
      </c>
      <c r="N10" s="146" t="s">
        <v>158</v>
      </c>
      <c r="O10" s="146" t="s">
        <v>159</v>
      </c>
      <c r="P10" s="129"/>
      <c r="Q10" s="147"/>
      <c r="R10" s="129"/>
      <c r="S10" s="129"/>
      <c r="T10" s="129"/>
      <c r="U10" s="129"/>
      <c r="V10" s="129"/>
      <c r="W10" s="129"/>
      <c r="X10" s="129"/>
      <c r="Y10" s="129"/>
      <c r="Z10" s="129"/>
    </row>
    <row r="11" ht="15.75" customHeight="1">
      <c r="A11" s="148" t="s">
        <v>306</v>
      </c>
      <c r="B11" s="160"/>
      <c r="C11" s="181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3"/>
      <c r="Q11" s="152"/>
      <c r="R11" s="129"/>
      <c r="S11" s="129"/>
      <c r="T11" s="129"/>
      <c r="U11" s="129"/>
      <c r="V11" s="129"/>
      <c r="W11" s="129"/>
      <c r="X11" s="129"/>
      <c r="Y11" s="129"/>
      <c r="Z11" s="129"/>
    </row>
    <row r="12" ht="12.75" customHeight="1" outlineLevel="1">
      <c r="A12" s="153" t="s">
        <v>307</v>
      </c>
      <c r="B12" s="153" t="s">
        <v>308</v>
      </c>
      <c r="C12" s="154" t="s">
        <v>309</v>
      </c>
      <c r="D12" s="153" t="s">
        <v>310</v>
      </c>
      <c r="E12" s="153" t="s">
        <v>136</v>
      </c>
      <c r="F12" s="153" t="s">
        <v>133</v>
      </c>
      <c r="G12" s="153" t="s">
        <v>17</v>
      </c>
      <c r="H12" s="153" t="s">
        <v>4</v>
      </c>
      <c r="I12" s="153" t="s">
        <v>133</v>
      </c>
      <c r="J12" s="153" t="s">
        <v>17</v>
      </c>
      <c r="K12" s="153" t="s">
        <v>165</v>
      </c>
      <c r="L12" s="153" t="s">
        <v>133</v>
      </c>
      <c r="M12" s="153" t="s">
        <v>17</v>
      </c>
      <c r="N12" s="153" t="s">
        <v>166</v>
      </c>
      <c r="O12" s="156"/>
      <c r="P12" s="10"/>
      <c r="Q12" s="157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 outlineLevel="1">
      <c r="A13" s="153" t="s">
        <v>311</v>
      </c>
      <c r="B13" s="153" t="s">
        <v>312</v>
      </c>
      <c r="C13" s="154" t="s">
        <v>313</v>
      </c>
      <c r="D13" s="153" t="s">
        <v>314</v>
      </c>
      <c r="E13" s="153" t="s">
        <v>136</v>
      </c>
      <c r="F13" s="153" t="s">
        <v>133</v>
      </c>
      <c r="G13" s="153" t="s">
        <v>17</v>
      </c>
      <c r="H13" s="153" t="s">
        <v>4</v>
      </c>
      <c r="I13" s="153" t="s">
        <v>133</v>
      </c>
      <c r="J13" s="153" t="s">
        <v>17</v>
      </c>
      <c r="K13" s="153" t="s">
        <v>165</v>
      </c>
      <c r="L13" s="153" t="s">
        <v>133</v>
      </c>
      <c r="M13" s="153" t="s">
        <v>17</v>
      </c>
      <c r="N13" s="153" t="s">
        <v>166</v>
      </c>
      <c r="O13" s="75"/>
      <c r="P13" s="68"/>
      <c r="Q13" s="121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 outlineLevel="1">
      <c r="A14" s="153" t="s">
        <v>315</v>
      </c>
      <c r="B14" s="153" t="s">
        <v>316</v>
      </c>
      <c r="C14" s="154" t="s">
        <v>313</v>
      </c>
      <c r="D14" s="153" t="s">
        <v>317</v>
      </c>
      <c r="E14" s="153" t="s">
        <v>136</v>
      </c>
      <c r="F14" s="153" t="s">
        <v>133</v>
      </c>
      <c r="G14" s="153" t="s">
        <v>17</v>
      </c>
      <c r="H14" s="153" t="s">
        <v>4</v>
      </c>
      <c r="I14" s="153" t="s">
        <v>133</v>
      </c>
      <c r="J14" s="153" t="s">
        <v>17</v>
      </c>
      <c r="K14" s="153" t="s">
        <v>165</v>
      </c>
      <c r="L14" s="153" t="s">
        <v>133</v>
      </c>
      <c r="M14" s="153" t="s">
        <v>17</v>
      </c>
      <c r="N14" s="153" t="s">
        <v>166</v>
      </c>
      <c r="O14" s="184"/>
      <c r="P14" s="68"/>
      <c r="Q14" s="121"/>
      <c r="R14" s="10"/>
      <c r="S14" s="10"/>
      <c r="T14" s="10"/>
      <c r="U14" s="10"/>
      <c r="V14" s="10"/>
      <c r="W14" s="10"/>
      <c r="X14" s="10"/>
      <c r="Y14" s="10"/>
      <c r="Z14" s="10"/>
    </row>
    <row r="15" outlineLevel="1">
      <c r="A15" s="153" t="s">
        <v>318</v>
      </c>
      <c r="B15" s="153" t="s">
        <v>319</v>
      </c>
      <c r="C15" s="154" t="s">
        <v>320</v>
      </c>
      <c r="D15" s="153" t="s">
        <v>321</v>
      </c>
      <c r="E15" s="153" t="s">
        <v>136</v>
      </c>
      <c r="F15" s="153" t="s">
        <v>133</v>
      </c>
      <c r="G15" s="153" t="s">
        <v>17</v>
      </c>
      <c r="H15" s="153" t="s">
        <v>4</v>
      </c>
      <c r="I15" s="153" t="s">
        <v>133</v>
      </c>
      <c r="J15" s="153" t="s">
        <v>17</v>
      </c>
      <c r="K15" s="153" t="s">
        <v>165</v>
      </c>
      <c r="L15" s="153" t="s">
        <v>133</v>
      </c>
      <c r="M15" s="153" t="s">
        <v>17</v>
      </c>
      <c r="N15" s="153" t="s">
        <v>166</v>
      </c>
      <c r="O15" s="75"/>
      <c r="P15" s="68"/>
      <c r="Q15" s="121"/>
      <c r="R15" s="10"/>
      <c r="S15" s="10"/>
      <c r="T15" s="10"/>
      <c r="U15" s="10"/>
      <c r="V15" s="10"/>
      <c r="W15" s="10"/>
      <c r="X15" s="10"/>
      <c r="Y15" s="10"/>
      <c r="Z15" s="10"/>
    </row>
    <row r="16" outlineLevel="1">
      <c r="A16" s="153" t="s">
        <v>322</v>
      </c>
      <c r="B16" s="153" t="s">
        <v>323</v>
      </c>
      <c r="C16" s="154" t="s">
        <v>324</v>
      </c>
      <c r="D16" s="153" t="s">
        <v>325</v>
      </c>
      <c r="E16" s="153" t="s">
        <v>136</v>
      </c>
      <c r="F16" s="153" t="s">
        <v>133</v>
      </c>
      <c r="G16" s="153" t="s">
        <v>17</v>
      </c>
      <c r="H16" s="153" t="s">
        <v>4</v>
      </c>
      <c r="I16" s="153" t="s">
        <v>133</v>
      </c>
      <c r="J16" s="153" t="s">
        <v>17</v>
      </c>
      <c r="K16" s="153" t="s">
        <v>165</v>
      </c>
      <c r="L16" s="153" t="s">
        <v>133</v>
      </c>
      <c r="M16" s="153" t="s">
        <v>17</v>
      </c>
      <c r="N16" s="153" t="s">
        <v>166</v>
      </c>
      <c r="O16" s="75"/>
      <c r="P16" s="68"/>
      <c r="Q16" s="121"/>
      <c r="R16" s="10"/>
      <c r="S16" s="10"/>
      <c r="T16" s="10"/>
      <c r="U16" s="10"/>
      <c r="V16" s="10"/>
      <c r="W16" s="10"/>
      <c r="X16" s="10"/>
      <c r="Y16" s="10"/>
      <c r="Z16" s="10"/>
    </row>
    <row r="17" outlineLevel="1">
      <c r="A17" s="153" t="s">
        <v>326</v>
      </c>
      <c r="B17" s="153" t="s">
        <v>327</v>
      </c>
      <c r="C17" s="154" t="s">
        <v>328</v>
      </c>
      <c r="D17" s="153" t="s">
        <v>329</v>
      </c>
      <c r="E17" s="153" t="s">
        <v>136</v>
      </c>
      <c r="F17" s="153" t="s">
        <v>133</v>
      </c>
      <c r="G17" s="153" t="s">
        <v>17</v>
      </c>
      <c r="H17" s="153" t="s">
        <v>4</v>
      </c>
      <c r="I17" s="153" t="s">
        <v>133</v>
      </c>
      <c r="J17" s="153" t="s">
        <v>17</v>
      </c>
      <c r="K17" s="153" t="s">
        <v>165</v>
      </c>
      <c r="L17" s="153" t="s">
        <v>133</v>
      </c>
      <c r="M17" s="153" t="s">
        <v>17</v>
      </c>
      <c r="N17" s="153" t="s">
        <v>166</v>
      </c>
      <c r="O17" s="75"/>
      <c r="P17" s="68"/>
      <c r="Q17" s="121"/>
      <c r="R17" s="10"/>
      <c r="S17" s="10"/>
      <c r="T17" s="10"/>
      <c r="U17" s="10"/>
      <c r="V17" s="10"/>
      <c r="W17" s="10"/>
      <c r="X17" s="10"/>
      <c r="Y17" s="10"/>
      <c r="Z17" s="10"/>
    </row>
    <row r="18" outlineLevel="1">
      <c r="A18" s="153" t="s">
        <v>330</v>
      </c>
      <c r="B18" s="153" t="s">
        <v>331</v>
      </c>
      <c r="C18" s="154" t="s">
        <v>332</v>
      </c>
      <c r="D18" s="153" t="s">
        <v>333</v>
      </c>
      <c r="E18" s="153" t="s">
        <v>136</v>
      </c>
      <c r="F18" s="153" t="s">
        <v>133</v>
      </c>
      <c r="G18" s="153" t="s">
        <v>17</v>
      </c>
      <c r="H18" s="153" t="s">
        <v>4</v>
      </c>
      <c r="I18" s="153" t="s">
        <v>133</v>
      </c>
      <c r="J18" s="153" t="s">
        <v>17</v>
      </c>
      <c r="K18" s="153" t="s">
        <v>165</v>
      </c>
      <c r="L18" s="153" t="s">
        <v>133</v>
      </c>
      <c r="M18" s="153" t="s">
        <v>17</v>
      </c>
      <c r="N18" s="153" t="s">
        <v>166</v>
      </c>
      <c r="O18" s="75"/>
      <c r="P18" s="68"/>
      <c r="Q18" s="121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148" t="s">
        <v>334</v>
      </c>
      <c r="B19" s="160"/>
      <c r="C19" s="181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3"/>
      <c r="Q19" s="152"/>
      <c r="R19" s="129"/>
      <c r="S19" s="129"/>
      <c r="T19" s="129"/>
      <c r="U19" s="129"/>
      <c r="V19" s="129"/>
      <c r="W19" s="129"/>
      <c r="X19" s="129"/>
      <c r="Y19" s="129"/>
      <c r="Z19" s="129"/>
    </row>
    <row r="20" ht="12.75" customHeight="1" outlineLevel="1">
      <c r="A20" s="153" t="s">
        <v>335</v>
      </c>
      <c r="B20" s="153" t="s">
        <v>336</v>
      </c>
      <c r="C20" s="154" t="s">
        <v>337</v>
      </c>
      <c r="D20" s="153" t="s">
        <v>338</v>
      </c>
      <c r="E20" s="153" t="s">
        <v>136</v>
      </c>
      <c r="F20" s="153" t="s">
        <v>133</v>
      </c>
      <c r="G20" s="153" t="s">
        <v>17</v>
      </c>
      <c r="H20" s="153" t="s">
        <v>4</v>
      </c>
      <c r="I20" s="153" t="s">
        <v>133</v>
      </c>
      <c r="J20" s="153" t="s">
        <v>17</v>
      </c>
      <c r="K20" s="153" t="s">
        <v>165</v>
      </c>
      <c r="L20" s="153" t="s">
        <v>133</v>
      </c>
      <c r="M20" s="153" t="s">
        <v>17</v>
      </c>
      <c r="N20" s="153" t="s">
        <v>166</v>
      </c>
      <c r="O20" s="75"/>
      <c r="P20" s="68"/>
      <c r="Q20" s="121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48" t="s">
        <v>339</v>
      </c>
      <c r="B21" s="160"/>
      <c r="C21" s="181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3"/>
      <c r="Q21" s="152"/>
      <c r="R21" s="129"/>
      <c r="S21" s="129"/>
      <c r="T21" s="129"/>
      <c r="U21" s="129"/>
      <c r="V21" s="129"/>
      <c r="W21" s="129"/>
      <c r="X21" s="129"/>
      <c r="Y21" s="129"/>
      <c r="Z21" s="129"/>
    </row>
    <row r="22" ht="12.75" customHeight="1" outlineLevel="1">
      <c r="A22" s="153" t="s">
        <v>340</v>
      </c>
      <c r="B22" s="158" t="s">
        <v>57</v>
      </c>
      <c r="C22" s="154" t="s">
        <v>309</v>
      </c>
      <c r="D22" s="185" t="s">
        <v>341</v>
      </c>
      <c r="E22" s="153" t="s">
        <v>342</v>
      </c>
      <c r="F22" s="153" t="s">
        <v>133</v>
      </c>
      <c r="G22" s="153" t="s">
        <v>17</v>
      </c>
      <c r="H22" s="153" t="s">
        <v>4</v>
      </c>
      <c r="I22" s="153" t="s">
        <v>133</v>
      </c>
      <c r="J22" s="153" t="s">
        <v>17</v>
      </c>
      <c r="K22" s="153" t="s">
        <v>165</v>
      </c>
      <c r="L22" s="153" t="s">
        <v>133</v>
      </c>
      <c r="M22" s="153" t="s">
        <v>17</v>
      </c>
      <c r="N22" s="153" t="s">
        <v>166</v>
      </c>
      <c r="O22" s="75"/>
      <c r="P22" s="68"/>
      <c r="Q22" s="121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 outlineLevel="1">
      <c r="A23" s="153" t="s">
        <v>343</v>
      </c>
      <c r="B23" s="158" t="s">
        <v>344</v>
      </c>
      <c r="C23" s="154" t="s">
        <v>309</v>
      </c>
      <c r="D23" s="185" t="s">
        <v>341</v>
      </c>
      <c r="E23" s="153" t="s">
        <v>345</v>
      </c>
      <c r="F23" s="153" t="s">
        <v>133</v>
      </c>
      <c r="G23" s="153" t="s">
        <v>17</v>
      </c>
      <c r="H23" s="153" t="s">
        <v>4</v>
      </c>
      <c r="I23" s="153" t="s">
        <v>133</v>
      </c>
      <c r="J23" s="153" t="s">
        <v>17</v>
      </c>
      <c r="K23" s="153" t="s">
        <v>165</v>
      </c>
      <c r="L23" s="153" t="s">
        <v>133</v>
      </c>
      <c r="M23" s="153" t="s">
        <v>17</v>
      </c>
      <c r="N23" s="153" t="s">
        <v>166</v>
      </c>
      <c r="O23" s="75"/>
      <c r="P23" s="68"/>
      <c r="Q23" s="121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 outlineLevel="1">
      <c r="A24" s="153" t="s">
        <v>346</v>
      </c>
      <c r="B24" s="153" t="s">
        <v>347</v>
      </c>
      <c r="C24" s="154" t="s">
        <v>348</v>
      </c>
      <c r="D24" s="153" t="s">
        <v>349</v>
      </c>
      <c r="E24" s="153" t="s">
        <v>350</v>
      </c>
      <c r="F24" s="153" t="s">
        <v>133</v>
      </c>
      <c r="G24" s="153" t="s">
        <v>17</v>
      </c>
      <c r="H24" s="153" t="s">
        <v>4</v>
      </c>
      <c r="I24" s="153" t="s">
        <v>133</v>
      </c>
      <c r="J24" s="153" t="s">
        <v>17</v>
      </c>
      <c r="K24" s="153" t="s">
        <v>165</v>
      </c>
      <c r="L24" s="153" t="s">
        <v>133</v>
      </c>
      <c r="M24" s="153" t="s">
        <v>17</v>
      </c>
      <c r="N24" s="153" t="s">
        <v>166</v>
      </c>
      <c r="O24" s="75"/>
      <c r="P24" s="68"/>
      <c r="Q24" s="121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 outlineLevel="1">
      <c r="A25" s="153" t="s">
        <v>351</v>
      </c>
      <c r="B25" s="158" t="s">
        <v>352</v>
      </c>
      <c r="C25" s="154" t="s">
        <v>353</v>
      </c>
      <c r="D25" s="153" t="s">
        <v>354</v>
      </c>
      <c r="E25" s="167" t="s">
        <v>355</v>
      </c>
      <c r="F25" s="185" t="s">
        <v>133</v>
      </c>
      <c r="G25" s="153" t="s">
        <v>17</v>
      </c>
      <c r="H25" s="153" t="s">
        <v>4</v>
      </c>
      <c r="I25" s="185" t="s">
        <v>133</v>
      </c>
      <c r="J25" s="153" t="s">
        <v>17</v>
      </c>
      <c r="K25" s="153" t="s">
        <v>165</v>
      </c>
      <c r="L25" s="185" t="s">
        <v>133</v>
      </c>
      <c r="M25" s="153" t="s">
        <v>17</v>
      </c>
      <c r="N25" s="153" t="s">
        <v>166</v>
      </c>
      <c r="O25" s="184"/>
      <c r="P25" s="68"/>
      <c r="Q25" s="121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1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1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1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1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1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1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1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1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1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1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1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1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1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1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1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1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1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1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1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1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1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1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1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1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1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1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1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1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1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1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1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1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1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1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1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1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1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1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1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1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1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1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1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1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1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1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1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1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1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1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1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1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1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1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1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1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1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1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1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1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1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1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1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1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1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1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1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1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1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1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1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1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1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1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1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1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1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1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1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1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1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1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1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1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1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1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1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1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1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1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1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1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1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1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1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1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1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1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1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1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1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1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1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1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1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1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1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1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1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1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1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1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1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1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1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1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1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1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1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1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1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1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1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1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1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1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1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1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1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1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1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1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1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1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1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1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1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1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1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1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1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1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1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1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1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1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1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1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1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1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1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1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1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1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1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1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1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1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1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1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1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1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1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1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1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1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1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1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1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1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1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1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1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1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1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1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1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1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1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1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1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1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1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1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1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1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1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1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1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1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1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1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1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1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1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1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1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1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1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1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1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1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1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1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1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1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1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1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1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1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1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1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1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1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1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1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1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1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1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1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1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1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1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1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1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1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1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1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1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1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1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1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1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1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1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1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1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1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1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1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1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1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1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1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1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1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1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1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1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1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1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1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1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1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1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1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1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1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1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1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1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1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1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1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1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1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1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1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1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1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1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1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1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1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1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1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1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1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1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1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1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1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1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1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1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1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1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1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1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1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1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1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1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1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1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1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1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1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1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1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1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1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1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1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1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1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1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1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1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1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1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1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1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1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1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1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1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1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1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1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1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1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1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1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1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1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1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1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1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1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1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1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1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1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1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1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1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1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1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1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1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1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1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1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1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1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1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1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1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1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1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1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1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1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1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1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1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1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1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1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1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1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1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1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1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1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1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1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1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1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1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1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1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1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1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1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1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1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1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1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1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1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1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1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1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1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1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1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1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1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1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1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1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1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1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1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1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1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1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1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1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1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1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1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1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1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1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1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1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1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1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1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1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1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1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1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1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1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1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1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1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1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1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1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1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1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1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1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1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1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1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1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1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1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1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1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1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1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1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1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1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1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1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1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1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1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1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1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1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1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1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1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1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1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1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1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1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1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1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1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1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1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1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1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1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1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1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1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1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1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1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1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1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1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1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1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1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1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1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1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1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1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1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1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1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1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1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1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1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1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1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1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1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1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1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1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1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1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1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1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1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1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1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1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1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1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1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1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1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1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1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1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1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1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1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1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1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1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1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1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1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1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1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1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1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1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1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1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1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1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1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1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1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1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1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1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1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1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1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1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1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1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1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1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1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1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1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1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1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1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1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1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1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1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1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1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1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1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1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1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1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1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1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1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1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1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1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1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1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1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1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1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1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1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1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1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1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1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1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1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1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1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1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1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1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1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1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1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1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1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1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1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1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1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1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1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1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1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1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1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1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1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1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1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1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1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1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1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1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1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1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1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1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1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1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1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1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1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1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1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1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1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1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1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1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1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1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1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1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1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1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1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1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1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1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1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1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1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1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1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1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1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1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1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1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1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1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1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1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1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1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1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1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1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1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1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1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1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1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1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1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1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1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1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1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1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1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1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1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1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1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1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1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1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1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1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1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1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1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1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1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1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1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1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1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1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1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1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1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1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1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1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1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1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1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1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1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1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1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1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1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1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1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1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1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1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1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1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1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1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1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1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1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1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1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1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1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1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1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1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1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1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1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1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1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1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1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1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1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1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1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1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1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1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1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1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1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1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1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1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1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1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1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1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1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1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1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1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1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1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1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21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21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21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21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21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21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21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21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21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21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2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21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t="12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21"/>
      <c r="R1003" s="10"/>
      <c r="S1003" s="10"/>
      <c r="T1003" s="10"/>
      <c r="U1003" s="10"/>
      <c r="V1003" s="10"/>
      <c r="W1003" s="10"/>
      <c r="X1003" s="10"/>
      <c r="Y1003" s="10"/>
      <c r="Z1003" s="1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8 I12:I18 L12:L18 F20 I20 L20 F22:F25 I22:I25 L22:L25 G26:G148 J26:J148 M26:M148">
      <formula1>$R$2:$R$5</formula1>
    </dataValidation>
  </dataValidations>
  <hyperlinks>
    <hyperlink r:id="rId1" ref="C16"/>
    <hyperlink r:id="rId2" ref="C17"/>
    <hyperlink r:id="rId3" ref="C18"/>
    <hyperlink r:id="rId4" ref="C24"/>
    <hyperlink r:id="rId5" ref="C25"/>
  </hyperlink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25"/>
    <col customWidth="1" min="5" max="5" width="28.38"/>
    <col customWidth="1" min="6" max="6" width="9.38"/>
    <col customWidth="1" min="7" max="7" width="10.63" outlineLevel="1"/>
    <col customWidth="1" min="8" max="8" width="9.5" outlineLevel="1"/>
    <col customWidth="1" min="9" max="9" width="9.38"/>
    <col customWidth="1" min="10" max="10" width="10.63" outlineLevel="1"/>
    <col customWidth="1" min="11" max="11" width="11.75" outlineLevel="1"/>
    <col customWidth="1" min="12" max="12" width="9.38"/>
    <col customWidth="1" min="13" max="13" width="10.63" outlineLevel="1"/>
    <col customWidth="1" min="14" max="14" width="9.25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86" t="s">
        <v>356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2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22" t="s">
        <v>145</v>
      </c>
      <c r="B2" s="123" t="s">
        <v>59</v>
      </c>
      <c r="C2" s="124"/>
      <c r="D2" s="124"/>
      <c r="E2" s="125"/>
      <c r="F2" s="126"/>
      <c r="G2" s="127"/>
      <c r="H2" s="50"/>
      <c r="I2" s="126"/>
      <c r="J2" s="127"/>
      <c r="K2" s="50"/>
      <c r="L2" s="126"/>
      <c r="M2" s="127"/>
      <c r="N2" s="50"/>
      <c r="O2" s="50"/>
      <c r="P2" s="50"/>
      <c r="Q2" s="128"/>
      <c r="R2" s="129" t="s">
        <v>133</v>
      </c>
      <c r="S2" s="129"/>
      <c r="T2" s="129"/>
      <c r="U2" s="129"/>
      <c r="V2" s="129"/>
      <c r="W2" s="129"/>
      <c r="X2" s="129"/>
      <c r="Y2" s="129"/>
      <c r="Z2" s="129"/>
    </row>
    <row r="3" ht="12.75" customHeight="1">
      <c r="A3" s="130" t="s">
        <v>146</v>
      </c>
      <c r="B3" s="131" t="s">
        <v>357</v>
      </c>
      <c r="C3" s="5"/>
      <c r="D3" s="5"/>
      <c r="E3" s="132"/>
      <c r="F3" s="126"/>
      <c r="G3" s="127"/>
      <c r="H3" s="50"/>
      <c r="I3" s="126"/>
      <c r="J3" s="127"/>
      <c r="K3" s="50"/>
      <c r="L3" s="126"/>
      <c r="M3" s="127"/>
      <c r="N3" s="50"/>
      <c r="O3" s="50"/>
      <c r="P3" s="50"/>
      <c r="Q3" s="128"/>
      <c r="R3" s="129" t="s">
        <v>134</v>
      </c>
      <c r="S3" s="129"/>
      <c r="T3" s="129"/>
      <c r="U3" s="129"/>
      <c r="V3" s="129"/>
      <c r="W3" s="129"/>
      <c r="X3" s="129"/>
      <c r="Y3" s="129"/>
      <c r="Z3" s="129"/>
    </row>
    <row r="4" ht="18.0" customHeight="1">
      <c r="A4" s="130" t="s">
        <v>147</v>
      </c>
      <c r="B4" s="133">
        <f>COUNTIF(A11:A314, "WA*")</f>
        <v>9</v>
      </c>
      <c r="C4" s="5"/>
      <c r="D4" s="5"/>
      <c r="E4" s="132"/>
      <c r="F4" s="126"/>
      <c r="G4" s="127"/>
      <c r="H4" s="50"/>
      <c r="I4" s="126"/>
      <c r="J4" s="127"/>
      <c r="K4" s="50"/>
      <c r="L4" s="126"/>
      <c r="M4" s="127"/>
      <c r="N4" s="50"/>
      <c r="O4" s="50"/>
      <c r="P4" s="50"/>
      <c r="Q4" s="128"/>
      <c r="R4" s="129" t="s">
        <v>135</v>
      </c>
      <c r="S4" s="129"/>
      <c r="T4" s="129"/>
      <c r="U4" s="129"/>
      <c r="V4" s="129"/>
      <c r="W4" s="129"/>
      <c r="X4" s="129"/>
      <c r="Y4" s="129"/>
      <c r="Z4" s="129"/>
    </row>
    <row r="5" ht="19.5" customHeight="1">
      <c r="A5" s="134" t="s">
        <v>148</v>
      </c>
      <c r="B5" s="135" t="s">
        <v>133</v>
      </c>
      <c r="C5" s="135" t="s">
        <v>134</v>
      </c>
      <c r="D5" s="135" t="s">
        <v>135</v>
      </c>
      <c r="E5" s="136" t="s">
        <v>136</v>
      </c>
      <c r="F5" s="137"/>
      <c r="G5" s="137"/>
      <c r="H5" s="138"/>
      <c r="I5" s="137"/>
      <c r="J5" s="137"/>
      <c r="K5" s="138"/>
      <c r="L5" s="137"/>
      <c r="M5" s="137"/>
      <c r="N5" s="138"/>
      <c r="O5" s="138"/>
      <c r="P5" s="138"/>
      <c r="Q5" s="139"/>
      <c r="R5" s="129" t="s">
        <v>136</v>
      </c>
      <c r="S5" s="129"/>
      <c r="T5" s="129"/>
      <c r="U5" s="129"/>
      <c r="V5" s="129"/>
      <c r="W5" s="129"/>
      <c r="X5" s="129"/>
      <c r="Y5" s="129"/>
      <c r="Z5" s="129"/>
    </row>
    <row r="6" ht="15.0" customHeight="1">
      <c r="A6" s="134" t="s">
        <v>149</v>
      </c>
      <c r="B6" s="140">
        <f t="shared" ref="B6:E6" si="1">COUNTIF($F10:$F994,B5)</f>
        <v>9</v>
      </c>
      <c r="C6" s="140">
        <f t="shared" si="1"/>
        <v>0</v>
      </c>
      <c r="D6" s="140">
        <f t="shared" si="1"/>
        <v>0</v>
      </c>
      <c r="E6" s="141">
        <f t="shared" si="1"/>
        <v>0</v>
      </c>
      <c r="F6" s="142"/>
      <c r="G6" s="142"/>
      <c r="H6" s="138"/>
      <c r="I6" s="142"/>
      <c r="J6" s="142"/>
      <c r="K6" s="138"/>
      <c r="L6" s="142"/>
      <c r="M6" s="142"/>
      <c r="N6" s="138"/>
      <c r="O6" s="138"/>
      <c r="P6" s="138"/>
      <c r="Q6" s="139"/>
      <c r="R6" s="129"/>
      <c r="S6" s="129"/>
      <c r="T6" s="129"/>
      <c r="U6" s="129"/>
      <c r="V6" s="129"/>
      <c r="W6" s="129"/>
      <c r="X6" s="129"/>
      <c r="Y6" s="129"/>
      <c r="Z6" s="129"/>
    </row>
    <row r="7" ht="15.0" customHeight="1">
      <c r="A7" s="134" t="s">
        <v>150</v>
      </c>
      <c r="B7" s="140">
        <f t="shared" ref="B7:E7" si="2">COUNTIF($F10:$F994,B5)</f>
        <v>9</v>
      </c>
      <c r="C7" s="140">
        <f t="shared" si="2"/>
        <v>0</v>
      </c>
      <c r="D7" s="140">
        <f t="shared" si="2"/>
        <v>0</v>
      </c>
      <c r="E7" s="141">
        <f t="shared" si="2"/>
        <v>0</v>
      </c>
      <c r="F7" s="142"/>
      <c r="G7" s="142"/>
      <c r="H7" s="138"/>
      <c r="I7" s="142"/>
      <c r="J7" s="142"/>
      <c r="K7" s="138"/>
      <c r="L7" s="142"/>
      <c r="M7" s="142"/>
      <c r="N7" s="138"/>
      <c r="O7" s="138"/>
      <c r="P7" s="138"/>
      <c r="Q7" s="139"/>
      <c r="R7" s="129"/>
      <c r="S7" s="129"/>
      <c r="T7" s="129"/>
      <c r="U7" s="129"/>
      <c r="V7" s="129"/>
      <c r="W7" s="129"/>
      <c r="X7" s="129"/>
      <c r="Y7" s="129"/>
      <c r="Z7" s="129"/>
    </row>
    <row r="8" ht="15.0" customHeight="1">
      <c r="A8" s="143" t="s">
        <v>151</v>
      </c>
      <c r="B8" s="144">
        <f t="shared" ref="B8:E8" si="3">COUNTIF($F10:$F994,B5)</f>
        <v>9</v>
      </c>
      <c r="C8" s="144">
        <f t="shared" si="3"/>
        <v>0</v>
      </c>
      <c r="D8" s="144">
        <f t="shared" si="3"/>
        <v>0</v>
      </c>
      <c r="E8" s="145">
        <f t="shared" si="3"/>
        <v>0</v>
      </c>
      <c r="F8" s="142"/>
      <c r="G8" s="142"/>
      <c r="H8" s="138"/>
      <c r="I8" s="142"/>
      <c r="J8" s="142"/>
      <c r="K8" s="138"/>
      <c r="L8" s="142"/>
      <c r="M8" s="142"/>
      <c r="N8" s="138"/>
      <c r="O8" s="138"/>
      <c r="P8" s="138"/>
      <c r="Q8" s="139"/>
      <c r="R8" s="129"/>
      <c r="S8" s="129"/>
      <c r="T8" s="129"/>
      <c r="U8" s="129"/>
      <c r="V8" s="129"/>
      <c r="W8" s="129"/>
      <c r="X8" s="129"/>
      <c r="Y8" s="129"/>
      <c r="Z8" s="129"/>
    </row>
    <row r="9" ht="15.0" customHeight="1">
      <c r="A9" s="138"/>
      <c r="B9" s="138"/>
      <c r="C9" s="138"/>
      <c r="D9" s="138"/>
      <c r="E9" s="138"/>
      <c r="F9" s="120"/>
      <c r="G9" s="138"/>
      <c r="H9" s="138"/>
      <c r="I9" s="120"/>
      <c r="J9" s="138"/>
      <c r="K9" s="138"/>
      <c r="L9" s="120"/>
      <c r="M9" s="138"/>
      <c r="N9" s="138"/>
      <c r="O9" s="138"/>
      <c r="P9" s="138"/>
      <c r="Q9" s="139"/>
      <c r="R9" s="129"/>
      <c r="S9" s="129"/>
      <c r="T9" s="129"/>
      <c r="U9" s="129"/>
      <c r="V9" s="129"/>
      <c r="W9" s="129"/>
      <c r="X9" s="129"/>
      <c r="Y9" s="129"/>
      <c r="Z9" s="129"/>
    </row>
    <row r="10" ht="25.5" customHeight="1">
      <c r="A10" s="146" t="s">
        <v>152</v>
      </c>
      <c r="B10" s="146" t="s">
        <v>153</v>
      </c>
      <c r="C10" s="146" t="s">
        <v>154</v>
      </c>
      <c r="D10" s="146" t="s">
        <v>155</v>
      </c>
      <c r="E10" s="146" t="s">
        <v>156</v>
      </c>
      <c r="F10" s="146" t="s">
        <v>149</v>
      </c>
      <c r="G10" s="146" t="s">
        <v>157</v>
      </c>
      <c r="H10" s="146" t="s">
        <v>158</v>
      </c>
      <c r="I10" s="146" t="s">
        <v>150</v>
      </c>
      <c r="J10" s="146" t="s">
        <v>157</v>
      </c>
      <c r="K10" s="146" t="s">
        <v>158</v>
      </c>
      <c r="L10" s="146" t="s">
        <v>151</v>
      </c>
      <c r="M10" s="146" t="s">
        <v>157</v>
      </c>
      <c r="N10" s="146" t="s">
        <v>158</v>
      </c>
      <c r="O10" s="146" t="s">
        <v>159</v>
      </c>
      <c r="P10" s="129"/>
      <c r="Q10" s="147"/>
      <c r="R10" s="129"/>
      <c r="S10" s="129"/>
      <c r="T10" s="129"/>
      <c r="U10" s="129"/>
      <c r="V10" s="129"/>
      <c r="W10" s="129"/>
      <c r="X10" s="129"/>
      <c r="Y10" s="129"/>
      <c r="Z10" s="129"/>
    </row>
    <row r="11" ht="15.75" customHeight="1">
      <c r="A11" s="159" t="s">
        <v>358</v>
      </c>
      <c r="B11" s="160"/>
      <c r="C11" s="187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3"/>
      <c r="P11" s="129"/>
      <c r="Q11" s="152"/>
      <c r="R11" s="129"/>
      <c r="S11" s="129"/>
      <c r="T11" s="129"/>
      <c r="U11" s="129"/>
      <c r="V11" s="129"/>
      <c r="W11" s="129"/>
      <c r="X11" s="129"/>
      <c r="Y11" s="129"/>
      <c r="Z11" s="129"/>
    </row>
    <row r="12" ht="12.75" customHeight="1" outlineLevel="1">
      <c r="A12" s="153" t="s">
        <v>359</v>
      </c>
      <c r="B12" s="188" t="s">
        <v>360</v>
      </c>
      <c r="C12" s="154" t="s">
        <v>361</v>
      </c>
      <c r="D12" s="153" t="s">
        <v>362</v>
      </c>
      <c r="E12" s="153" t="s">
        <v>363</v>
      </c>
      <c r="F12" s="153" t="s">
        <v>133</v>
      </c>
      <c r="G12" s="153" t="s">
        <v>364</v>
      </c>
      <c r="H12" s="153" t="s">
        <v>4</v>
      </c>
      <c r="I12" s="153" t="s">
        <v>133</v>
      </c>
      <c r="J12" s="153" t="s">
        <v>364</v>
      </c>
      <c r="K12" s="153" t="s">
        <v>165</v>
      </c>
      <c r="L12" s="153" t="s">
        <v>133</v>
      </c>
      <c r="M12" s="153" t="s">
        <v>364</v>
      </c>
      <c r="N12" s="153" t="s">
        <v>166</v>
      </c>
      <c r="O12" s="156"/>
      <c r="P12" s="10"/>
      <c r="Q12" s="157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 outlineLevel="1">
      <c r="A13" s="153" t="s">
        <v>365</v>
      </c>
      <c r="B13" s="188" t="s">
        <v>366</v>
      </c>
      <c r="C13" s="154" t="s">
        <v>367</v>
      </c>
      <c r="D13" s="153" t="s">
        <v>368</v>
      </c>
      <c r="E13" s="153" t="s">
        <v>363</v>
      </c>
      <c r="F13" s="153" t="s">
        <v>133</v>
      </c>
      <c r="G13" s="153" t="s">
        <v>364</v>
      </c>
      <c r="H13" s="153" t="s">
        <v>4</v>
      </c>
      <c r="I13" s="153" t="s">
        <v>133</v>
      </c>
      <c r="J13" s="153" t="s">
        <v>364</v>
      </c>
      <c r="K13" s="153" t="s">
        <v>165</v>
      </c>
      <c r="L13" s="153" t="s">
        <v>133</v>
      </c>
      <c r="M13" s="153" t="s">
        <v>364</v>
      </c>
      <c r="N13" s="153" t="s">
        <v>166</v>
      </c>
      <c r="O13" s="75"/>
      <c r="P13" s="10"/>
      <c r="Q13" s="121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 outlineLevel="1">
      <c r="A14" s="153" t="s">
        <v>369</v>
      </c>
      <c r="B14" s="188" t="s">
        <v>370</v>
      </c>
      <c r="C14" s="154" t="s">
        <v>371</v>
      </c>
      <c r="D14" s="153" t="s">
        <v>368</v>
      </c>
      <c r="E14" s="153" t="s">
        <v>372</v>
      </c>
      <c r="F14" s="153" t="s">
        <v>133</v>
      </c>
      <c r="G14" s="153" t="s">
        <v>364</v>
      </c>
      <c r="H14" s="153" t="s">
        <v>4</v>
      </c>
      <c r="I14" s="153" t="s">
        <v>133</v>
      </c>
      <c r="J14" s="153" t="s">
        <v>364</v>
      </c>
      <c r="K14" s="153" t="s">
        <v>165</v>
      </c>
      <c r="L14" s="153" t="s">
        <v>133</v>
      </c>
      <c r="M14" s="153" t="s">
        <v>364</v>
      </c>
      <c r="N14" s="153" t="s">
        <v>166</v>
      </c>
      <c r="O14" s="75"/>
      <c r="P14" s="10"/>
      <c r="Q14" s="121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 outlineLevel="1">
      <c r="A15" s="153" t="s">
        <v>373</v>
      </c>
      <c r="B15" s="188" t="s">
        <v>374</v>
      </c>
      <c r="C15" s="154" t="s">
        <v>375</v>
      </c>
      <c r="D15" s="153" t="s">
        <v>376</v>
      </c>
      <c r="E15" s="167" t="s">
        <v>136</v>
      </c>
      <c r="F15" s="153" t="s">
        <v>133</v>
      </c>
      <c r="G15" s="153" t="s">
        <v>364</v>
      </c>
      <c r="H15" s="153" t="s">
        <v>4</v>
      </c>
      <c r="I15" s="153" t="s">
        <v>133</v>
      </c>
      <c r="J15" s="153" t="s">
        <v>364</v>
      </c>
      <c r="K15" s="153" t="s">
        <v>165</v>
      </c>
      <c r="L15" s="153" t="s">
        <v>133</v>
      </c>
      <c r="M15" s="153" t="s">
        <v>364</v>
      </c>
      <c r="N15" s="153" t="s">
        <v>166</v>
      </c>
      <c r="O15" s="75"/>
      <c r="P15" s="10"/>
      <c r="Q15" s="121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 outlineLevel="1">
      <c r="A16" s="153" t="s">
        <v>377</v>
      </c>
      <c r="B16" s="188" t="s">
        <v>378</v>
      </c>
      <c r="C16" s="154" t="s">
        <v>379</v>
      </c>
      <c r="D16" s="153" t="s">
        <v>380</v>
      </c>
      <c r="E16" s="167" t="s">
        <v>136</v>
      </c>
      <c r="F16" s="153" t="s">
        <v>133</v>
      </c>
      <c r="G16" s="153" t="s">
        <v>364</v>
      </c>
      <c r="H16" s="153" t="s">
        <v>4</v>
      </c>
      <c r="I16" s="153" t="s">
        <v>133</v>
      </c>
      <c r="J16" s="153" t="s">
        <v>364</v>
      </c>
      <c r="K16" s="153" t="s">
        <v>165</v>
      </c>
      <c r="L16" s="153" t="s">
        <v>133</v>
      </c>
      <c r="M16" s="153" t="s">
        <v>364</v>
      </c>
      <c r="N16" s="153" t="s">
        <v>166</v>
      </c>
      <c r="O16" s="75"/>
      <c r="P16" s="10"/>
      <c r="Q16" s="121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89" t="s">
        <v>381</v>
      </c>
      <c r="B17" s="189" t="s">
        <v>382</v>
      </c>
      <c r="C17" s="189" t="s">
        <v>383</v>
      </c>
      <c r="D17" s="153" t="s">
        <v>380</v>
      </c>
      <c r="E17" s="167" t="s">
        <v>136</v>
      </c>
      <c r="F17" s="153" t="s">
        <v>133</v>
      </c>
      <c r="G17" s="153" t="s">
        <v>364</v>
      </c>
      <c r="H17" s="153" t="s">
        <v>4</v>
      </c>
      <c r="I17" s="153" t="s">
        <v>133</v>
      </c>
      <c r="J17" s="153" t="s">
        <v>364</v>
      </c>
      <c r="K17" s="153" t="s">
        <v>165</v>
      </c>
      <c r="L17" s="153" t="s">
        <v>133</v>
      </c>
      <c r="M17" s="153" t="s">
        <v>364</v>
      </c>
      <c r="N17" s="153" t="s">
        <v>166</v>
      </c>
      <c r="O17" s="75"/>
      <c r="P17" s="68"/>
      <c r="Q17" s="121"/>
      <c r="R17" s="10"/>
      <c r="S17" s="10"/>
      <c r="T17" s="10"/>
      <c r="U17" s="10"/>
      <c r="V17" s="10"/>
      <c r="W17" s="10"/>
      <c r="X17" s="10"/>
      <c r="Y17" s="10"/>
      <c r="Z17" s="10"/>
    </row>
    <row r="18" ht="33.75" customHeight="1">
      <c r="A18" s="189" t="s">
        <v>384</v>
      </c>
      <c r="B18" s="189" t="s">
        <v>385</v>
      </c>
      <c r="C18" s="189" t="s">
        <v>386</v>
      </c>
      <c r="D18" s="189" t="s">
        <v>387</v>
      </c>
      <c r="E18" s="189" t="s">
        <v>136</v>
      </c>
      <c r="F18" s="153" t="s">
        <v>133</v>
      </c>
      <c r="G18" s="153" t="s">
        <v>364</v>
      </c>
      <c r="H18" s="153" t="s">
        <v>4</v>
      </c>
      <c r="I18" s="153" t="s">
        <v>133</v>
      </c>
      <c r="J18" s="153" t="s">
        <v>364</v>
      </c>
      <c r="K18" s="153" t="s">
        <v>165</v>
      </c>
      <c r="L18" s="153" t="s">
        <v>133</v>
      </c>
      <c r="M18" s="153" t="s">
        <v>364</v>
      </c>
      <c r="N18" s="153" t="s">
        <v>166</v>
      </c>
      <c r="O18" s="75"/>
      <c r="P18" s="68"/>
      <c r="Q18" s="121"/>
      <c r="R18" s="10"/>
      <c r="S18" s="10"/>
      <c r="T18" s="10"/>
      <c r="U18" s="10"/>
      <c r="V18" s="10"/>
      <c r="W18" s="10"/>
      <c r="X18" s="10"/>
      <c r="Y18" s="10"/>
      <c r="Z18" s="10"/>
    </row>
    <row r="19" ht="57.0" customHeight="1">
      <c r="A19" s="189" t="s">
        <v>388</v>
      </c>
      <c r="B19" s="189" t="s">
        <v>389</v>
      </c>
      <c r="C19" s="153" t="s">
        <v>390</v>
      </c>
      <c r="D19" s="153" t="s">
        <v>391</v>
      </c>
      <c r="E19" s="189" t="s">
        <v>392</v>
      </c>
      <c r="F19" s="153" t="s">
        <v>133</v>
      </c>
      <c r="G19" s="153" t="s">
        <v>364</v>
      </c>
      <c r="H19" s="153" t="s">
        <v>4</v>
      </c>
      <c r="I19" s="153" t="s">
        <v>133</v>
      </c>
      <c r="J19" s="153" t="s">
        <v>364</v>
      </c>
      <c r="K19" s="153" t="s">
        <v>165</v>
      </c>
      <c r="L19" s="153" t="s">
        <v>133</v>
      </c>
      <c r="M19" s="153" t="s">
        <v>364</v>
      </c>
      <c r="N19" s="153" t="s">
        <v>166</v>
      </c>
      <c r="O19" s="75"/>
      <c r="P19" s="68"/>
      <c r="Q19" s="121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89" t="s">
        <v>393</v>
      </c>
      <c r="B20" s="189" t="s">
        <v>394</v>
      </c>
      <c r="C20" s="189" t="s">
        <v>395</v>
      </c>
      <c r="D20" s="153" t="s">
        <v>396</v>
      </c>
      <c r="E20" s="189" t="s">
        <v>397</v>
      </c>
      <c r="F20" s="153" t="s">
        <v>133</v>
      </c>
      <c r="G20" s="153" t="s">
        <v>364</v>
      </c>
      <c r="H20" s="153" t="s">
        <v>4</v>
      </c>
      <c r="I20" s="153" t="s">
        <v>133</v>
      </c>
      <c r="J20" s="153" t="s">
        <v>364</v>
      </c>
      <c r="K20" s="153" t="s">
        <v>165</v>
      </c>
      <c r="L20" s="153" t="s">
        <v>133</v>
      </c>
      <c r="M20" s="153" t="s">
        <v>364</v>
      </c>
      <c r="N20" s="153" t="s">
        <v>166</v>
      </c>
      <c r="O20" s="75"/>
      <c r="P20" s="68"/>
      <c r="Q20" s="121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10"/>
      <c r="Q21" s="121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21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21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21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21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1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1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1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1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1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1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1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1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1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1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1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1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1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1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1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1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1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1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1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1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1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1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1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1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1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1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1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1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1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1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1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1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1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1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1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1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1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1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1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1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1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1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1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1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1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1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1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1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1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1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1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1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1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1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1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1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1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1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1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1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1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1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1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1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1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1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1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1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1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1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1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1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1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1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1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1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1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1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1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1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1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1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1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1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1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1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1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1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1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1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1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1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1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1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1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1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1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1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1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1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1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1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1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1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1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1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1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1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1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1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1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1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1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1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1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1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1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1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1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1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1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1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1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1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1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1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1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1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1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1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1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1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1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1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1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1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1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1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1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1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1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1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1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1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1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1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1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1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1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1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1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1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1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1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1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1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1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1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1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1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1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1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1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1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1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1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1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1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1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1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1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1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1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1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1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1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1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1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1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1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1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1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1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1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1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1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1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1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1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1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1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1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1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1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1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1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1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1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1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1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1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1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1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1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1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1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1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1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1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1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1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1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1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1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1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1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1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1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1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1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1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1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1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1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1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1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1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1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1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1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1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1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1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1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1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1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1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1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1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1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1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1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1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1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1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1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1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1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1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1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1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1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1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1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1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1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1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1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1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1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1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1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1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1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1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1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1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1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1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1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1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1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1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1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1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1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1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1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1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1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1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1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1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1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1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1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1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1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1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1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1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1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1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1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1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1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1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1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1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1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1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1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1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1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1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1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1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1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1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1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1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1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1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1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1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1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1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1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1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1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1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1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1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1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1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1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1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1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1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1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1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1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1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1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1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1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1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1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1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1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1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1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1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1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1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1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1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1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1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1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1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1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1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1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1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1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1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1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1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1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1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1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1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1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1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1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1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1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1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1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1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1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1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1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1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1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1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1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1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1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1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1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1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1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1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1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1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1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1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1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1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1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1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1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1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1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1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1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1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1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1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1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1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1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1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1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1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1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1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1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1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1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1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1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1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1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1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1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1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1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1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1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1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1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1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1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1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1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1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1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1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1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1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1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1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1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1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1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1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1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1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1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1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1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1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1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1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1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1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1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1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1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1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1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1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1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1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1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1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1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1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1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1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1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1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1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1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1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1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1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1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1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1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1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1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1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1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1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1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1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1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1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1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1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1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1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1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1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1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1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1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1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1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1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1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1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1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1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1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1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1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1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1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1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1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1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1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1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1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1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1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1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1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1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1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1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1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1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1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1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1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1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1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1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1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1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1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1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1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1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1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1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1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1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1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1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1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1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1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1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1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1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1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1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1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1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1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1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1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1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1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1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1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1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1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1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1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1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1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1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1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1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1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1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1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1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1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1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1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1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1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1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1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1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1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1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1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1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1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1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1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1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1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1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1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1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1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1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1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1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1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1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1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1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1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1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1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1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1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1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1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1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1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1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1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1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1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1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1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1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1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1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1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1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1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1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1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1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1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1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1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1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1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1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1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1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1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1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1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1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1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1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1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1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1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1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1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1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1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1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1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1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1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1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1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1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1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1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1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1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1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1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1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1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1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1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1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1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1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1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1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1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1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1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1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1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1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1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1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1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1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1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1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1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1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1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1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1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1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1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1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1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1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1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1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1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1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1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1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1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1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1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1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1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1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1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1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1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1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1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1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1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1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1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1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1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1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1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1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1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1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1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1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1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1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1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1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1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1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1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1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1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1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1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1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1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1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1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1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1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1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1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1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1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1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1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1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1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1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1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1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1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1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1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1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1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1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1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1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1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1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21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21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21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21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21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21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21"/>
      <c r="R998" s="10"/>
      <c r="S998" s="10"/>
      <c r="T998" s="10"/>
      <c r="U998" s="10"/>
      <c r="V998" s="10"/>
      <c r="W998" s="10"/>
      <c r="X998" s="10"/>
      <c r="Y998" s="10"/>
      <c r="Z998" s="1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20 I12:I20 L12:L20 G21:G143 J21:J143 M21:M143">
      <formula1>$R$2:$R$5</formula1>
    </dataValidation>
  </dataValidations>
  <hyperlinks>
    <hyperlink r:id="rId1" ref="C12"/>
    <hyperlink r:id="rId2" ref="C13"/>
    <hyperlink r:id="rId3" ref="C14"/>
    <hyperlink r:id="rId4" ref="C15"/>
    <hyperlink r:id="rId5" ref="C16"/>
  </hyperlink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9.63" outlineLevel="1"/>
    <col customWidth="1" min="9" max="9" width="9.38"/>
    <col customWidth="1" min="10" max="10" width="10.63" outlineLevel="1"/>
    <col customWidth="1" min="11" max="11" width="10.5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95"/>
      <c r="C1" s="95"/>
      <c r="D1" s="95"/>
      <c r="E1" s="9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2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22" t="s">
        <v>145</v>
      </c>
      <c r="B2" s="123" t="s">
        <v>398</v>
      </c>
      <c r="C2" s="124"/>
      <c r="D2" s="124"/>
      <c r="E2" s="125"/>
      <c r="F2" s="190"/>
      <c r="G2" s="127"/>
      <c r="H2" s="50"/>
      <c r="I2" s="126"/>
      <c r="J2" s="127"/>
      <c r="K2" s="50"/>
      <c r="L2" s="126"/>
      <c r="M2" s="127"/>
      <c r="N2" s="50"/>
      <c r="O2" s="50"/>
      <c r="P2" s="50"/>
      <c r="Q2" s="128"/>
      <c r="R2" s="129" t="s">
        <v>133</v>
      </c>
      <c r="S2" s="129"/>
      <c r="T2" s="129"/>
      <c r="U2" s="129"/>
      <c r="V2" s="129"/>
      <c r="W2" s="129"/>
      <c r="X2" s="129"/>
      <c r="Y2" s="129"/>
      <c r="Z2" s="129"/>
    </row>
    <row r="3" ht="12.75" customHeight="1">
      <c r="A3" s="130" t="s">
        <v>146</v>
      </c>
      <c r="B3" s="131" t="s">
        <v>399</v>
      </c>
      <c r="C3" s="5"/>
      <c r="D3" s="5"/>
      <c r="E3" s="132"/>
      <c r="F3" s="190"/>
      <c r="G3" s="127"/>
      <c r="H3" s="50"/>
      <c r="I3" s="126"/>
      <c r="J3" s="127"/>
      <c r="K3" s="50"/>
      <c r="L3" s="126"/>
      <c r="M3" s="127"/>
      <c r="N3" s="50"/>
      <c r="O3" s="50"/>
      <c r="P3" s="50"/>
      <c r="Q3" s="128"/>
      <c r="R3" s="129" t="s">
        <v>134</v>
      </c>
      <c r="S3" s="129"/>
      <c r="T3" s="129"/>
      <c r="U3" s="129"/>
      <c r="V3" s="129"/>
      <c r="W3" s="129"/>
      <c r="X3" s="129"/>
      <c r="Y3" s="129"/>
      <c r="Z3" s="129"/>
    </row>
    <row r="4" ht="18.0" customHeight="1">
      <c r="A4" s="130" t="s">
        <v>147</v>
      </c>
      <c r="B4" s="133">
        <f>COUNTIF(A11:A317, "IN*")</f>
        <v>20</v>
      </c>
      <c r="C4" s="5"/>
      <c r="D4" s="5"/>
      <c r="E4" s="132"/>
      <c r="F4" s="190"/>
      <c r="G4" s="127"/>
      <c r="H4" s="50"/>
      <c r="I4" s="126"/>
      <c r="J4" s="127"/>
      <c r="K4" s="50"/>
      <c r="L4" s="126"/>
      <c r="M4" s="127"/>
      <c r="N4" s="50"/>
      <c r="O4" s="50"/>
      <c r="P4" s="50"/>
      <c r="Q4" s="128"/>
      <c r="R4" s="129" t="s">
        <v>135</v>
      </c>
      <c r="S4" s="129"/>
      <c r="T4" s="129"/>
      <c r="U4" s="129"/>
      <c r="V4" s="129"/>
      <c r="W4" s="129"/>
      <c r="X4" s="129"/>
      <c r="Y4" s="129"/>
      <c r="Z4" s="129"/>
    </row>
    <row r="5" ht="19.5" customHeight="1">
      <c r="A5" s="134" t="s">
        <v>148</v>
      </c>
      <c r="B5" s="135" t="s">
        <v>133</v>
      </c>
      <c r="C5" s="135" t="s">
        <v>134</v>
      </c>
      <c r="D5" s="135" t="s">
        <v>135</v>
      </c>
      <c r="E5" s="136" t="s">
        <v>136</v>
      </c>
      <c r="F5" s="137"/>
      <c r="G5" s="137"/>
      <c r="H5" s="138"/>
      <c r="I5" s="137"/>
      <c r="J5" s="137"/>
      <c r="K5" s="138"/>
      <c r="L5" s="137"/>
      <c r="M5" s="137"/>
      <c r="N5" s="138"/>
      <c r="O5" s="138"/>
      <c r="P5" s="138"/>
      <c r="Q5" s="139"/>
      <c r="R5" s="129" t="s">
        <v>136</v>
      </c>
      <c r="S5" s="129"/>
      <c r="T5" s="129"/>
      <c r="U5" s="129"/>
      <c r="V5" s="129"/>
      <c r="W5" s="129"/>
      <c r="X5" s="129"/>
      <c r="Y5" s="129"/>
      <c r="Z5" s="129"/>
    </row>
    <row r="6" ht="15.0" customHeight="1">
      <c r="A6" s="134" t="s">
        <v>149</v>
      </c>
      <c r="B6" s="140">
        <f t="shared" ref="B6:E6" si="1">COUNTIF($F10:$F997,B5)</f>
        <v>20</v>
      </c>
      <c r="C6" s="140">
        <f t="shared" si="1"/>
        <v>0</v>
      </c>
      <c r="D6" s="140">
        <f t="shared" si="1"/>
        <v>0</v>
      </c>
      <c r="E6" s="141">
        <f t="shared" si="1"/>
        <v>0</v>
      </c>
      <c r="F6" s="142"/>
      <c r="G6" s="142"/>
      <c r="H6" s="138"/>
      <c r="I6" s="142"/>
      <c r="J6" s="142"/>
      <c r="K6" s="138"/>
      <c r="L6" s="142"/>
      <c r="M6" s="142"/>
      <c r="N6" s="138"/>
      <c r="O6" s="138"/>
      <c r="P6" s="138"/>
      <c r="Q6" s="139"/>
      <c r="R6" s="129"/>
      <c r="S6" s="129"/>
      <c r="T6" s="129"/>
      <c r="U6" s="129"/>
      <c r="V6" s="129"/>
      <c r="W6" s="129"/>
      <c r="X6" s="129"/>
      <c r="Y6" s="129"/>
      <c r="Z6" s="129"/>
    </row>
    <row r="7" ht="15.0" customHeight="1">
      <c r="A7" s="134" t="s">
        <v>150</v>
      </c>
      <c r="B7" s="140">
        <f>COUNTIF($F10:$F997,B5)</f>
        <v>20</v>
      </c>
      <c r="C7" s="140">
        <f>COUNTIF($F11:$F998,C6)</f>
        <v>0</v>
      </c>
      <c r="D7" s="140">
        <f t="shared" ref="D7:E7" si="2">COUNTIF($F10:$F997,D5)</f>
        <v>0</v>
      </c>
      <c r="E7" s="141">
        <f t="shared" si="2"/>
        <v>0</v>
      </c>
      <c r="F7" s="142"/>
      <c r="G7" s="142"/>
      <c r="H7" s="138"/>
      <c r="I7" s="142"/>
      <c r="J7" s="142"/>
      <c r="K7" s="138"/>
      <c r="L7" s="142"/>
      <c r="M7" s="142"/>
      <c r="N7" s="138"/>
      <c r="O7" s="138"/>
      <c r="P7" s="138"/>
      <c r="Q7" s="139"/>
      <c r="R7" s="129"/>
      <c r="S7" s="129"/>
      <c r="T7" s="129"/>
      <c r="U7" s="129"/>
      <c r="V7" s="129"/>
      <c r="W7" s="129"/>
      <c r="X7" s="129"/>
      <c r="Y7" s="129"/>
      <c r="Z7" s="129"/>
    </row>
    <row r="8" ht="15.0" customHeight="1">
      <c r="A8" s="143" t="s">
        <v>151</v>
      </c>
      <c r="B8" s="144">
        <f t="shared" ref="B8:E8" si="3">COUNTIF($F10:$F997,B5)</f>
        <v>20</v>
      </c>
      <c r="C8" s="144">
        <f t="shared" si="3"/>
        <v>0</v>
      </c>
      <c r="D8" s="144">
        <f t="shared" si="3"/>
        <v>0</v>
      </c>
      <c r="E8" s="145">
        <f t="shared" si="3"/>
        <v>0</v>
      </c>
      <c r="F8" s="142"/>
      <c r="G8" s="142"/>
      <c r="H8" s="138"/>
      <c r="I8" s="142"/>
      <c r="J8" s="142"/>
      <c r="K8" s="138"/>
      <c r="L8" s="142"/>
      <c r="M8" s="142"/>
      <c r="N8" s="138"/>
      <c r="O8" s="138"/>
      <c r="P8" s="138"/>
      <c r="Q8" s="139"/>
      <c r="R8" s="129"/>
      <c r="S8" s="129"/>
      <c r="T8" s="129"/>
      <c r="U8" s="129"/>
      <c r="V8" s="129"/>
      <c r="W8" s="129"/>
      <c r="X8" s="129"/>
      <c r="Y8" s="129"/>
      <c r="Z8" s="129"/>
    </row>
    <row r="9" ht="15.0" customHeight="1">
      <c r="A9" s="138"/>
      <c r="B9" s="138"/>
      <c r="C9" s="138"/>
      <c r="D9" s="138"/>
      <c r="E9" s="138"/>
      <c r="F9" s="120"/>
      <c r="G9" s="138"/>
      <c r="H9" s="138"/>
      <c r="I9" s="120"/>
      <c r="J9" s="138"/>
      <c r="K9" s="138"/>
      <c r="L9" s="120"/>
      <c r="M9" s="138"/>
      <c r="N9" s="138"/>
      <c r="O9" s="138"/>
      <c r="P9" s="138"/>
      <c r="Q9" s="139"/>
      <c r="R9" s="129"/>
      <c r="S9" s="129"/>
      <c r="T9" s="129"/>
      <c r="U9" s="129"/>
      <c r="V9" s="129"/>
      <c r="W9" s="129"/>
      <c r="X9" s="129"/>
      <c r="Y9" s="129"/>
      <c r="Z9" s="129"/>
    </row>
    <row r="10" ht="25.5" customHeight="1">
      <c r="A10" s="191" t="s">
        <v>152</v>
      </c>
      <c r="B10" s="191" t="s">
        <v>153</v>
      </c>
      <c r="C10" s="191" t="s">
        <v>154</v>
      </c>
      <c r="D10" s="191" t="s">
        <v>155</v>
      </c>
      <c r="E10" s="191" t="s">
        <v>156</v>
      </c>
      <c r="F10" s="191" t="s">
        <v>149</v>
      </c>
      <c r="G10" s="191" t="s">
        <v>157</v>
      </c>
      <c r="H10" s="191" t="s">
        <v>158</v>
      </c>
      <c r="I10" s="191" t="s">
        <v>150</v>
      </c>
      <c r="J10" s="191" t="s">
        <v>157</v>
      </c>
      <c r="K10" s="191" t="s">
        <v>158</v>
      </c>
      <c r="L10" s="191" t="s">
        <v>151</v>
      </c>
      <c r="M10" s="191" t="s">
        <v>157</v>
      </c>
      <c r="N10" s="191" t="s">
        <v>158</v>
      </c>
      <c r="O10" s="191" t="s">
        <v>159</v>
      </c>
      <c r="P10" s="129"/>
      <c r="Q10" s="147"/>
      <c r="R10" s="129"/>
      <c r="S10" s="129"/>
      <c r="T10" s="129"/>
      <c r="U10" s="129"/>
      <c r="V10" s="129"/>
      <c r="W10" s="129"/>
      <c r="X10" s="129"/>
      <c r="Y10" s="129"/>
      <c r="Z10" s="129"/>
    </row>
    <row r="11" outlineLevel="1">
      <c r="A11" s="192" t="s">
        <v>400</v>
      </c>
      <c r="B11" s="5"/>
      <c r="C11" s="5"/>
      <c r="D11" s="5"/>
      <c r="E11" s="6"/>
      <c r="F11" s="193"/>
      <c r="G11" s="193"/>
      <c r="H11" s="193"/>
      <c r="I11" s="193"/>
      <c r="J11" s="193"/>
      <c r="K11" s="193"/>
      <c r="L11" s="193"/>
      <c r="M11" s="193"/>
      <c r="N11" s="193"/>
      <c r="O11" s="194"/>
      <c r="P11" s="195"/>
      <c r="Q11" s="157"/>
      <c r="R11" s="50"/>
      <c r="S11" s="50"/>
      <c r="T11" s="50"/>
      <c r="U11" s="50"/>
      <c r="V11" s="50"/>
      <c r="W11" s="50"/>
      <c r="X11" s="50"/>
      <c r="Y11" s="50"/>
      <c r="Z11" s="50"/>
    </row>
    <row r="12" outlineLevel="1">
      <c r="A12" s="153" t="s">
        <v>401</v>
      </c>
      <c r="B12" s="153" t="s">
        <v>402</v>
      </c>
      <c r="C12" s="153" t="s">
        <v>403</v>
      </c>
      <c r="D12" s="153" t="s">
        <v>404</v>
      </c>
      <c r="E12" s="153" t="s">
        <v>405</v>
      </c>
      <c r="F12" s="196" t="s">
        <v>133</v>
      </c>
      <c r="G12" s="196" t="s">
        <v>364</v>
      </c>
      <c r="H12" s="196" t="s">
        <v>4</v>
      </c>
      <c r="I12" s="196" t="s">
        <v>133</v>
      </c>
      <c r="J12" s="196" t="s">
        <v>364</v>
      </c>
      <c r="K12" s="196" t="s">
        <v>165</v>
      </c>
      <c r="L12" s="196" t="s">
        <v>133</v>
      </c>
      <c r="M12" s="196" t="s">
        <v>364</v>
      </c>
      <c r="N12" s="196" t="s">
        <v>166</v>
      </c>
      <c r="O12" s="197"/>
      <c r="P12" s="195"/>
      <c r="Q12" s="157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153" t="s">
        <v>406</v>
      </c>
      <c r="B13" s="153" t="s">
        <v>407</v>
      </c>
      <c r="C13" s="153" t="s">
        <v>408</v>
      </c>
      <c r="D13" s="153" t="s">
        <v>409</v>
      </c>
      <c r="E13" s="153" t="s">
        <v>410</v>
      </c>
      <c r="F13" s="196" t="s">
        <v>133</v>
      </c>
      <c r="G13" s="196" t="s">
        <v>364</v>
      </c>
      <c r="H13" s="196" t="s">
        <v>4</v>
      </c>
      <c r="I13" s="196" t="s">
        <v>133</v>
      </c>
      <c r="J13" s="196" t="s">
        <v>364</v>
      </c>
      <c r="K13" s="196" t="s">
        <v>165</v>
      </c>
      <c r="L13" s="196" t="s">
        <v>133</v>
      </c>
      <c r="M13" s="196" t="s">
        <v>364</v>
      </c>
      <c r="N13" s="196" t="s">
        <v>166</v>
      </c>
      <c r="O13" s="197"/>
      <c r="P13" s="198"/>
      <c r="Q13" s="199"/>
      <c r="R13" s="200"/>
      <c r="S13" s="200"/>
      <c r="T13" s="200"/>
      <c r="U13" s="200"/>
      <c r="V13" s="200"/>
      <c r="W13" s="200"/>
      <c r="X13" s="200"/>
      <c r="Y13" s="200"/>
      <c r="Z13" s="200"/>
    </row>
    <row r="14" outlineLevel="1">
      <c r="A14" s="153" t="s">
        <v>411</v>
      </c>
      <c r="B14" s="153" t="s">
        <v>412</v>
      </c>
      <c r="C14" s="153" t="s">
        <v>413</v>
      </c>
      <c r="D14" s="153" t="s">
        <v>414</v>
      </c>
      <c r="E14" s="153" t="s">
        <v>415</v>
      </c>
      <c r="F14" s="196" t="s">
        <v>133</v>
      </c>
      <c r="G14" s="196" t="s">
        <v>364</v>
      </c>
      <c r="H14" s="196" t="s">
        <v>4</v>
      </c>
      <c r="I14" s="196" t="s">
        <v>133</v>
      </c>
      <c r="J14" s="196" t="s">
        <v>364</v>
      </c>
      <c r="K14" s="196" t="s">
        <v>165</v>
      </c>
      <c r="L14" s="196" t="s">
        <v>133</v>
      </c>
      <c r="M14" s="196" t="s">
        <v>364</v>
      </c>
      <c r="N14" s="196" t="s">
        <v>166</v>
      </c>
      <c r="O14" s="197"/>
      <c r="P14" s="195"/>
      <c r="Q14" s="157"/>
      <c r="R14" s="50"/>
      <c r="S14" s="50"/>
      <c r="T14" s="50"/>
      <c r="U14" s="50"/>
      <c r="V14" s="50"/>
      <c r="W14" s="50"/>
      <c r="X14" s="50"/>
      <c r="Y14" s="50"/>
      <c r="Z14" s="50"/>
    </row>
    <row r="15" outlineLevel="1">
      <c r="A15" s="153" t="s">
        <v>416</v>
      </c>
      <c r="B15" s="153" t="s">
        <v>417</v>
      </c>
      <c r="C15" s="153" t="s">
        <v>418</v>
      </c>
      <c r="D15" s="153" t="s">
        <v>419</v>
      </c>
      <c r="E15" s="153" t="s">
        <v>410</v>
      </c>
      <c r="F15" s="196" t="s">
        <v>133</v>
      </c>
      <c r="G15" s="196" t="s">
        <v>364</v>
      </c>
      <c r="H15" s="196" t="s">
        <v>4</v>
      </c>
      <c r="I15" s="196" t="s">
        <v>133</v>
      </c>
      <c r="J15" s="196" t="s">
        <v>364</v>
      </c>
      <c r="K15" s="196" t="s">
        <v>165</v>
      </c>
      <c r="L15" s="196" t="s">
        <v>133</v>
      </c>
      <c r="M15" s="196" t="s">
        <v>364</v>
      </c>
      <c r="N15" s="196" t="s">
        <v>166</v>
      </c>
      <c r="O15" s="197"/>
      <c r="P15" s="195"/>
      <c r="Q15" s="128"/>
      <c r="R15" s="50"/>
      <c r="S15" s="50"/>
      <c r="T15" s="50"/>
      <c r="U15" s="50"/>
      <c r="V15" s="50"/>
      <c r="W15" s="50"/>
      <c r="X15" s="50"/>
      <c r="Y15" s="50"/>
      <c r="Z15" s="50"/>
    </row>
    <row r="16">
      <c r="A16" s="192" t="s">
        <v>420</v>
      </c>
      <c r="B16" s="5"/>
      <c r="C16" s="5"/>
      <c r="D16" s="5"/>
      <c r="E16" s="6"/>
      <c r="F16" s="193"/>
      <c r="G16" s="193"/>
      <c r="H16" s="193"/>
      <c r="I16" s="193"/>
      <c r="J16" s="193"/>
      <c r="K16" s="193"/>
      <c r="L16" s="193"/>
      <c r="M16" s="193"/>
      <c r="N16" s="193"/>
      <c r="O16" s="194"/>
      <c r="P16" s="195"/>
      <c r="Q16" s="128"/>
      <c r="R16" s="50"/>
      <c r="S16" s="50"/>
      <c r="T16" s="50"/>
      <c r="U16" s="50"/>
      <c r="V16" s="50"/>
      <c r="W16" s="50"/>
      <c r="X16" s="50"/>
      <c r="Y16" s="50"/>
      <c r="Z16" s="50"/>
    </row>
    <row r="17">
      <c r="A17" s="153" t="s">
        <v>421</v>
      </c>
      <c r="B17" s="153" t="s">
        <v>422</v>
      </c>
      <c r="C17" s="153" t="s">
        <v>423</v>
      </c>
      <c r="D17" s="153" t="s">
        <v>424</v>
      </c>
      <c r="E17" s="153" t="s">
        <v>425</v>
      </c>
      <c r="F17" s="196" t="s">
        <v>133</v>
      </c>
      <c r="G17" s="196" t="s">
        <v>364</v>
      </c>
      <c r="H17" s="196" t="s">
        <v>4</v>
      </c>
      <c r="I17" s="196" t="s">
        <v>133</v>
      </c>
      <c r="J17" s="196" t="s">
        <v>364</v>
      </c>
      <c r="K17" s="196" t="s">
        <v>165</v>
      </c>
      <c r="L17" s="196" t="s">
        <v>133</v>
      </c>
      <c r="M17" s="196" t="s">
        <v>364</v>
      </c>
      <c r="N17" s="196" t="s">
        <v>166</v>
      </c>
      <c r="O17" s="197"/>
      <c r="P17" s="195"/>
      <c r="Q17" s="128"/>
      <c r="R17" s="50"/>
      <c r="S17" s="50"/>
      <c r="T17" s="50"/>
      <c r="U17" s="50"/>
      <c r="V17" s="50"/>
      <c r="W17" s="50"/>
      <c r="X17" s="50"/>
      <c r="Y17" s="50"/>
      <c r="Z17" s="50"/>
    </row>
    <row r="18">
      <c r="A18" s="153" t="s">
        <v>426</v>
      </c>
      <c r="B18" s="153" t="s">
        <v>427</v>
      </c>
      <c r="C18" s="153" t="s">
        <v>428</v>
      </c>
      <c r="D18" s="153" t="s">
        <v>429</v>
      </c>
      <c r="E18" s="153" t="s">
        <v>425</v>
      </c>
      <c r="F18" s="196" t="s">
        <v>133</v>
      </c>
      <c r="G18" s="196" t="s">
        <v>364</v>
      </c>
      <c r="H18" s="196" t="s">
        <v>4</v>
      </c>
      <c r="I18" s="196" t="s">
        <v>133</v>
      </c>
      <c r="J18" s="196" t="s">
        <v>364</v>
      </c>
      <c r="K18" s="196" t="s">
        <v>165</v>
      </c>
      <c r="L18" s="196" t="s">
        <v>133</v>
      </c>
      <c r="M18" s="196" t="s">
        <v>364</v>
      </c>
      <c r="N18" s="196" t="s">
        <v>166</v>
      </c>
      <c r="O18" s="201"/>
      <c r="P18" s="195"/>
      <c r="Q18" s="128"/>
      <c r="R18" s="50"/>
      <c r="S18" s="50"/>
      <c r="T18" s="50"/>
      <c r="U18" s="50"/>
      <c r="V18" s="50"/>
      <c r="W18" s="50"/>
      <c r="X18" s="50"/>
      <c r="Y18" s="50"/>
      <c r="Z18" s="50"/>
    </row>
    <row r="19">
      <c r="A19" s="153" t="s">
        <v>430</v>
      </c>
      <c r="B19" s="153" t="s">
        <v>431</v>
      </c>
      <c r="C19" s="153" t="s">
        <v>432</v>
      </c>
      <c r="D19" s="153" t="s">
        <v>433</v>
      </c>
      <c r="E19" s="153" t="s">
        <v>425</v>
      </c>
      <c r="F19" s="196" t="s">
        <v>133</v>
      </c>
      <c r="G19" s="196" t="s">
        <v>364</v>
      </c>
      <c r="H19" s="196" t="s">
        <v>4</v>
      </c>
      <c r="I19" s="196" t="s">
        <v>133</v>
      </c>
      <c r="J19" s="196" t="s">
        <v>364</v>
      </c>
      <c r="K19" s="196" t="s">
        <v>165</v>
      </c>
      <c r="L19" s="196" t="s">
        <v>133</v>
      </c>
      <c r="M19" s="196" t="s">
        <v>364</v>
      </c>
      <c r="N19" s="196" t="s">
        <v>166</v>
      </c>
      <c r="O19" s="197"/>
      <c r="P19" s="195"/>
      <c r="Q19" s="128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153" t="s">
        <v>434</v>
      </c>
      <c r="B20" s="153" t="s">
        <v>435</v>
      </c>
      <c r="C20" s="153" t="s">
        <v>436</v>
      </c>
      <c r="D20" s="153" t="s">
        <v>437</v>
      </c>
      <c r="E20" s="153" t="s">
        <v>438</v>
      </c>
      <c r="F20" s="196" t="s">
        <v>133</v>
      </c>
      <c r="G20" s="196" t="s">
        <v>364</v>
      </c>
      <c r="H20" s="196" t="s">
        <v>4</v>
      </c>
      <c r="I20" s="196" t="s">
        <v>133</v>
      </c>
      <c r="J20" s="196" t="s">
        <v>364</v>
      </c>
      <c r="K20" s="196" t="s">
        <v>165</v>
      </c>
      <c r="L20" s="196" t="s">
        <v>133</v>
      </c>
      <c r="M20" s="196" t="s">
        <v>364</v>
      </c>
      <c r="N20" s="196" t="s">
        <v>166</v>
      </c>
      <c r="O20" s="197"/>
      <c r="P20" s="195"/>
      <c r="Q20" s="128"/>
      <c r="R20" s="50"/>
      <c r="S20" s="50"/>
      <c r="T20" s="50"/>
      <c r="U20" s="50"/>
      <c r="V20" s="50"/>
      <c r="W20" s="50"/>
      <c r="X20" s="50"/>
      <c r="Y20" s="50"/>
      <c r="Z20" s="50"/>
    </row>
    <row r="21">
      <c r="A21" s="192" t="s">
        <v>439</v>
      </c>
      <c r="B21" s="5"/>
      <c r="C21" s="5"/>
      <c r="D21" s="5"/>
      <c r="E21" s="6"/>
      <c r="F21" s="193"/>
      <c r="G21" s="193"/>
      <c r="H21" s="193"/>
      <c r="I21" s="193"/>
      <c r="J21" s="193"/>
      <c r="K21" s="193"/>
      <c r="L21" s="193"/>
      <c r="M21" s="193"/>
      <c r="N21" s="193"/>
      <c r="O21" s="194"/>
      <c r="P21" s="195"/>
      <c r="Q21" s="128"/>
      <c r="R21" s="50"/>
      <c r="S21" s="50"/>
      <c r="T21" s="50"/>
      <c r="U21" s="50"/>
      <c r="V21" s="50"/>
      <c r="W21" s="50"/>
      <c r="X21" s="50"/>
      <c r="Y21" s="50"/>
      <c r="Z21" s="50"/>
    </row>
    <row r="22">
      <c r="A22" s="153" t="s">
        <v>440</v>
      </c>
      <c r="B22" s="153" t="s">
        <v>441</v>
      </c>
      <c r="C22" s="153" t="s">
        <v>442</v>
      </c>
      <c r="D22" s="153" t="s">
        <v>443</v>
      </c>
      <c r="E22" s="153" t="s">
        <v>444</v>
      </c>
      <c r="F22" s="196" t="s">
        <v>133</v>
      </c>
      <c r="G22" s="196" t="s">
        <v>364</v>
      </c>
      <c r="H22" s="196" t="s">
        <v>4</v>
      </c>
      <c r="I22" s="196" t="s">
        <v>133</v>
      </c>
      <c r="J22" s="196" t="s">
        <v>364</v>
      </c>
      <c r="K22" s="196" t="s">
        <v>165</v>
      </c>
      <c r="L22" s="196" t="s">
        <v>133</v>
      </c>
      <c r="M22" s="196" t="s">
        <v>364</v>
      </c>
      <c r="N22" s="196" t="s">
        <v>166</v>
      </c>
      <c r="O22" s="197"/>
      <c r="P22" s="50"/>
      <c r="Q22" s="128"/>
      <c r="R22" s="50"/>
      <c r="S22" s="50"/>
      <c r="T22" s="50"/>
      <c r="U22" s="50"/>
      <c r="V22" s="50"/>
      <c r="W22" s="50"/>
      <c r="X22" s="50"/>
      <c r="Y22" s="50"/>
      <c r="Z22" s="50"/>
    </row>
    <row r="23">
      <c r="A23" s="153" t="s">
        <v>445</v>
      </c>
      <c r="B23" s="153" t="s">
        <v>446</v>
      </c>
      <c r="C23" s="153" t="s">
        <v>447</v>
      </c>
      <c r="D23" s="153" t="s">
        <v>448</v>
      </c>
      <c r="E23" s="153" t="s">
        <v>449</v>
      </c>
      <c r="F23" s="196" t="s">
        <v>133</v>
      </c>
      <c r="G23" s="196" t="s">
        <v>364</v>
      </c>
      <c r="H23" s="196" t="s">
        <v>4</v>
      </c>
      <c r="I23" s="196" t="s">
        <v>133</v>
      </c>
      <c r="J23" s="196" t="s">
        <v>364</v>
      </c>
      <c r="K23" s="196" t="s">
        <v>165</v>
      </c>
      <c r="L23" s="196" t="s">
        <v>133</v>
      </c>
      <c r="M23" s="196" t="s">
        <v>364</v>
      </c>
      <c r="N23" s="196" t="s">
        <v>166</v>
      </c>
      <c r="O23" s="197"/>
      <c r="P23" s="50"/>
      <c r="Q23" s="128"/>
      <c r="R23" s="50"/>
      <c r="S23" s="50"/>
      <c r="T23" s="50"/>
      <c r="U23" s="50"/>
      <c r="V23" s="50"/>
      <c r="W23" s="50"/>
      <c r="X23" s="50"/>
      <c r="Y23" s="50"/>
      <c r="Z23" s="50"/>
    </row>
    <row r="24">
      <c r="A24" s="153" t="s">
        <v>450</v>
      </c>
      <c r="B24" s="153" t="s">
        <v>451</v>
      </c>
      <c r="C24" s="153" t="s">
        <v>452</v>
      </c>
      <c r="D24" s="153" t="s">
        <v>453</v>
      </c>
      <c r="E24" s="153" t="s">
        <v>454</v>
      </c>
      <c r="F24" s="196" t="s">
        <v>133</v>
      </c>
      <c r="G24" s="196" t="s">
        <v>364</v>
      </c>
      <c r="H24" s="196" t="s">
        <v>4</v>
      </c>
      <c r="I24" s="196" t="s">
        <v>133</v>
      </c>
      <c r="J24" s="196" t="s">
        <v>364</v>
      </c>
      <c r="K24" s="196" t="s">
        <v>165</v>
      </c>
      <c r="L24" s="196" t="s">
        <v>133</v>
      </c>
      <c r="M24" s="196" t="s">
        <v>364</v>
      </c>
      <c r="N24" s="196" t="s">
        <v>166</v>
      </c>
      <c r="O24" s="197"/>
      <c r="P24" s="50"/>
      <c r="Q24" s="128"/>
      <c r="R24" s="50"/>
      <c r="S24" s="50"/>
      <c r="T24" s="50"/>
      <c r="U24" s="50"/>
      <c r="V24" s="50"/>
      <c r="W24" s="50"/>
      <c r="X24" s="50"/>
      <c r="Y24" s="50"/>
      <c r="Z24" s="50"/>
    </row>
    <row r="25">
      <c r="A25" s="192" t="s">
        <v>455</v>
      </c>
      <c r="B25" s="5"/>
      <c r="C25" s="5"/>
      <c r="D25" s="5"/>
      <c r="E25" s="6"/>
      <c r="F25" s="193"/>
      <c r="G25" s="193"/>
      <c r="H25" s="193"/>
      <c r="I25" s="193"/>
      <c r="J25" s="193"/>
      <c r="K25" s="193"/>
      <c r="L25" s="193"/>
      <c r="M25" s="193"/>
      <c r="N25" s="193"/>
      <c r="O25" s="194"/>
      <c r="P25" s="50"/>
      <c r="Q25" s="128"/>
      <c r="R25" s="50"/>
      <c r="S25" s="50"/>
      <c r="T25" s="50"/>
      <c r="U25" s="50"/>
      <c r="V25" s="50"/>
      <c r="W25" s="50"/>
      <c r="X25" s="50"/>
      <c r="Y25" s="50"/>
      <c r="Z25" s="50"/>
    </row>
    <row r="26">
      <c r="A26" s="153" t="s">
        <v>456</v>
      </c>
      <c r="B26" s="153" t="s">
        <v>457</v>
      </c>
      <c r="C26" s="153" t="s">
        <v>458</v>
      </c>
      <c r="D26" s="153" t="s">
        <v>459</v>
      </c>
      <c r="E26" s="153" t="s">
        <v>460</v>
      </c>
      <c r="F26" s="196" t="s">
        <v>133</v>
      </c>
      <c r="G26" s="196" t="s">
        <v>364</v>
      </c>
      <c r="H26" s="196" t="s">
        <v>4</v>
      </c>
      <c r="I26" s="196" t="s">
        <v>133</v>
      </c>
      <c r="J26" s="196" t="s">
        <v>364</v>
      </c>
      <c r="K26" s="196" t="s">
        <v>165</v>
      </c>
      <c r="L26" s="196" t="s">
        <v>133</v>
      </c>
      <c r="M26" s="196" t="s">
        <v>364</v>
      </c>
      <c r="N26" s="196" t="s">
        <v>166</v>
      </c>
      <c r="O26" s="197"/>
      <c r="P26" s="50"/>
      <c r="Q26" s="128"/>
      <c r="R26" s="50"/>
      <c r="S26" s="50"/>
      <c r="T26" s="50"/>
      <c r="U26" s="50"/>
      <c r="V26" s="50"/>
      <c r="W26" s="50"/>
      <c r="X26" s="50"/>
      <c r="Y26" s="50"/>
      <c r="Z26" s="50"/>
    </row>
    <row r="27">
      <c r="A27" s="153" t="s">
        <v>461</v>
      </c>
      <c r="B27" s="153" t="s">
        <v>462</v>
      </c>
      <c r="C27" s="153" t="s">
        <v>463</v>
      </c>
      <c r="D27" s="153" t="s">
        <v>464</v>
      </c>
      <c r="E27" s="153" t="s">
        <v>465</v>
      </c>
      <c r="F27" s="196" t="s">
        <v>133</v>
      </c>
      <c r="G27" s="196" t="s">
        <v>364</v>
      </c>
      <c r="H27" s="196" t="s">
        <v>4</v>
      </c>
      <c r="I27" s="196" t="s">
        <v>133</v>
      </c>
      <c r="J27" s="196" t="s">
        <v>364</v>
      </c>
      <c r="K27" s="196" t="s">
        <v>165</v>
      </c>
      <c r="L27" s="196" t="s">
        <v>133</v>
      </c>
      <c r="M27" s="196" t="s">
        <v>364</v>
      </c>
      <c r="N27" s="196" t="s">
        <v>166</v>
      </c>
      <c r="O27" s="197"/>
      <c r="P27" s="50"/>
      <c r="Q27" s="128"/>
      <c r="R27" s="50"/>
      <c r="S27" s="50"/>
      <c r="T27" s="50"/>
      <c r="U27" s="50"/>
      <c r="V27" s="50"/>
      <c r="W27" s="50"/>
      <c r="X27" s="50"/>
      <c r="Y27" s="50"/>
      <c r="Z27" s="50"/>
    </row>
    <row r="28">
      <c r="A28" s="153" t="s">
        <v>466</v>
      </c>
      <c r="B28" s="153" t="s">
        <v>467</v>
      </c>
      <c r="C28" s="153" t="s">
        <v>468</v>
      </c>
      <c r="D28" s="153" t="s">
        <v>469</v>
      </c>
      <c r="E28" s="153" t="s">
        <v>460</v>
      </c>
      <c r="F28" s="196" t="s">
        <v>133</v>
      </c>
      <c r="G28" s="196" t="s">
        <v>364</v>
      </c>
      <c r="H28" s="196" t="s">
        <v>4</v>
      </c>
      <c r="I28" s="196" t="s">
        <v>133</v>
      </c>
      <c r="J28" s="196" t="s">
        <v>364</v>
      </c>
      <c r="K28" s="196" t="s">
        <v>165</v>
      </c>
      <c r="L28" s="196" t="s">
        <v>133</v>
      </c>
      <c r="M28" s="196" t="s">
        <v>364</v>
      </c>
      <c r="N28" s="196" t="s">
        <v>166</v>
      </c>
      <c r="O28" s="197"/>
      <c r="P28" s="50"/>
      <c r="Q28" s="128"/>
      <c r="R28" s="50"/>
      <c r="S28" s="50"/>
      <c r="T28" s="50"/>
      <c r="U28" s="50"/>
      <c r="V28" s="50"/>
      <c r="W28" s="50"/>
      <c r="X28" s="50"/>
      <c r="Y28" s="50"/>
      <c r="Z28" s="50"/>
    </row>
    <row r="29">
      <c r="A29" s="153" t="s">
        <v>470</v>
      </c>
      <c r="B29" s="153" t="s">
        <v>471</v>
      </c>
      <c r="C29" s="153" t="s">
        <v>472</v>
      </c>
      <c r="D29" s="153" t="s">
        <v>473</v>
      </c>
      <c r="E29" s="153" t="s">
        <v>474</v>
      </c>
      <c r="F29" s="196" t="s">
        <v>133</v>
      </c>
      <c r="G29" s="196" t="s">
        <v>364</v>
      </c>
      <c r="H29" s="196" t="s">
        <v>4</v>
      </c>
      <c r="I29" s="196" t="s">
        <v>133</v>
      </c>
      <c r="J29" s="196" t="s">
        <v>364</v>
      </c>
      <c r="K29" s="196" t="s">
        <v>165</v>
      </c>
      <c r="L29" s="196" t="s">
        <v>133</v>
      </c>
      <c r="M29" s="196" t="s">
        <v>364</v>
      </c>
      <c r="N29" s="196" t="s">
        <v>166</v>
      </c>
      <c r="O29" s="197"/>
      <c r="P29" s="50"/>
      <c r="Q29" s="128"/>
      <c r="R29" s="50"/>
      <c r="S29" s="50"/>
      <c r="T29" s="50"/>
      <c r="U29" s="50"/>
      <c r="V29" s="50"/>
      <c r="W29" s="50"/>
      <c r="X29" s="50"/>
      <c r="Y29" s="50"/>
      <c r="Z29" s="50"/>
    </row>
    <row r="30">
      <c r="A30" s="192" t="s">
        <v>475</v>
      </c>
      <c r="B30" s="5"/>
      <c r="C30" s="5"/>
      <c r="D30" s="5"/>
      <c r="E30" s="6"/>
      <c r="F30" s="193"/>
      <c r="G30" s="193"/>
      <c r="H30" s="193"/>
      <c r="I30" s="193"/>
      <c r="J30" s="193"/>
      <c r="K30" s="193"/>
      <c r="L30" s="193"/>
      <c r="M30" s="193"/>
      <c r="N30" s="193"/>
      <c r="O30" s="194"/>
      <c r="P30" s="50"/>
      <c r="Q30" s="128"/>
      <c r="R30" s="50"/>
      <c r="S30" s="50"/>
      <c r="T30" s="50"/>
      <c r="U30" s="50"/>
      <c r="V30" s="50"/>
      <c r="W30" s="50"/>
      <c r="X30" s="50"/>
      <c r="Y30" s="50"/>
      <c r="Z30" s="50"/>
    </row>
    <row r="31">
      <c r="A31" s="153" t="s">
        <v>476</v>
      </c>
      <c r="B31" s="153" t="s">
        <v>477</v>
      </c>
      <c r="C31" s="153" t="s">
        <v>478</v>
      </c>
      <c r="D31" s="153" t="s">
        <v>479</v>
      </c>
      <c r="E31" s="153" t="s">
        <v>480</v>
      </c>
      <c r="F31" s="196" t="s">
        <v>133</v>
      </c>
      <c r="G31" s="196" t="s">
        <v>364</v>
      </c>
      <c r="H31" s="196" t="s">
        <v>4</v>
      </c>
      <c r="I31" s="196" t="s">
        <v>133</v>
      </c>
      <c r="J31" s="196" t="s">
        <v>364</v>
      </c>
      <c r="K31" s="196" t="s">
        <v>165</v>
      </c>
      <c r="L31" s="196" t="s">
        <v>133</v>
      </c>
      <c r="M31" s="196" t="s">
        <v>364</v>
      </c>
      <c r="N31" s="196" t="s">
        <v>166</v>
      </c>
      <c r="O31" s="201"/>
      <c r="P31" s="50"/>
      <c r="Q31" s="128"/>
      <c r="R31" s="50"/>
      <c r="S31" s="50"/>
      <c r="T31" s="50"/>
      <c r="U31" s="50"/>
      <c r="V31" s="50"/>
      <c r="W31" s="50"/>
      <c r="X31" s="50"/>
      <c r="Y31" s="50"/>
      <c r="Z31" s="50"/>
    </row>
    <row r="32">
      <c r="A32" s="153" t="s">
        <v>481</v>
      </c>
      <c r="B32" s="153" t="s">
        <v>482</v>
      </c>
      <c r="C32" s="153" t="s">
        <v>483</v>
      </c>
      <c r="D32" s="153" t="s">
        <v>484</v>
      </c>
      <c r="E32" s="153" t="s">
        <v>485</v>
      </c>
      <c r="F32" s="196" t="s">
        <v>133</v>
      </c>
      <c r="G32" s="196" t="s">
        <v>364</v>
      </c>
      <c r="H32" s="196" t="s">
        <v>4</v>
      </c>
      <c r="I32" s="196" t="s">
        <v>133</v>
      </c>
      <c r="J32" s="196" t="s">
        <v>364</v>
      </c>
      <c r="K32" s="196" t="s">
        <v>165</v>
      </c>
      <c r="L32" s="196" t="s">
        <v>133</v>
      </c>
      <c r="M32" s="196" t="s">
        <v>364</v>
      </c>
      <c r="N32" s="196" t="s">
        <v>166</v>
      </c>
      <c r="O32" s="197"/>
      <c r="P32" s="50"/>
      <c r="Q32" s="128"/>
      <c r="R32" s="50"/>
      <c r="S32" s="50"/>
      <c r="T32" s="50"/>
      <c r="U32" s="50"/>
      <c r="V32" s="50"/>
      <c r="W32" s="50"/>
      <c r="X32" s="50"/>
      <c r="Y32" s="50"/>
      <c r="Z32" s="50"/>
    </row>
    <row r="33">
      <c r="A33" s="153" t="s">
        <v>486</v>
      </c>
      <c r="B33" s="153" t="s">
        <v>487</v>
      </c>
      <c r="C33" s="153" t="s">
        <v>488</v>
      </c>
      <c r="D33" s="153" t="s">
        <v>489</v>
      </c>
      <c r="E33" s="153" t="s">
        <v>490</v>
      </c>
      <c r="F33" s="196" t="s">
        <v>133</v>
      </c>
      <c r="G33" s="196" t="s">
        <v>364</v>
      </c>
      <c r="H33" s="196" t="s">
        <v>4</v>
      </c>
      <c r="I33" s="196" t="s">
        <v>133</v>
      </c>
      <c r="J33" s="196" t="s">
        <v>364</v>
      </c>
      <c r="K33" s="196" t="s">
        <v>165</v>
      </c>
      <c r="L33" s="196" t="s">
        <v>133</v>
      </c>
      <c r="M33" s="196" t="s">
        <v>364</v>
      </c>
      <c r="N33" s="196" t="s">
        <v>166</v>
      </c>
      <c r="O33" s="197"/>
      <c r="P33" s="50"/>
      <c r="Q33" s="128"/>
      <c r="R33" s="50"/>
      <c r="S33" s="50"/>
      <c r="T33" s="50"/>
      <c r="U33" s="50"/>
      <c r="V33" s="50"/>
      <c r="W33" s="50"/>
      <c r="X33" s="50"/>
      <c r="Y33" s="50"/>
      <c r="Z33" s="50"/>
    </row>
    <row r="34">
      <c r="A34" s="153" t="s">
        <v>491</v>
      </c>
      <c r="B34" s="153" t="s">
        <v>492</v>
      </c>
      <c r="C34" s="153" t="s">
        <v>493</v>
      </c>
      <c r="D34" s="153" t="s">
        <v>494</v>
      </c>
      <c r="E34" s="153" t="s">
        <v>495</v>
      </c>
      <c r="F34" s="196" t="s">
        <v>133</v>
      </c>
      <c r="G34" s="196" t="s">
        <v>364</v>
      </c>
      <c r="H34" s="196" t="s">
        <v>4</v>
      </c>
      <c r="I34" s="196" t="s">
        <v>133</v>
      </c>
      <c r="J34" s="196" t="s">
        <v>364</v>
      </c>
      <c r="K34" s="196" t="s">
        <v>165</v>
      </c>
      <c r="L34" s="196" t="s">
        <v>133</v>
      </c>
      <c r="M34" s="196" t="s">
        <v>364</v>
      </c>
      <c r="N34" s="196" t="s">
        <v>166</v>
      </c>
      <c r="O34" s="197"/>
      <c r="P34" s="50"/>
      <c r="Q34" s="128"/>
      <c r="R34" s="50"/>
      <c r="S34" s="50"/>
      <c r="T34" s="50"/>
      <c r="U34" s="50"/>
      <c r="V34" s="50"/>
      <c r="W34" s="50"/>
      <c r="X34" s="50"/>
      <c r="Y34" s="50"/>
      <c r="Z34" s="50"/>
    </row>
    <row r="35">
      <c r="A35" s="153" t="s">
        <v>496</v>
      </c>
      <c r="B35" s="202" t="s">
        <v>497</v>
      </c>
      <c r="C35" s="202" t="s">
        <v>498</v>
      </c>
      <c r="D35" s="202" t="s">
        <v>499</v>
      </c>
      <c r="E35" s="202" t="s">
        <v>500</v>
      </c>
      <c r="F35" s="203" t="s">
        <v>133</v>
      </c>
      <c r="G35" s="203" t="s">
        <v>364</v>
      </c>
      <c r="H35" s="203" t="s">
        <v>4</v>
      </c>
      <c r="I35" s="203" t="s">
        <v>133</v>
      </c>
      <c r="J35" s="203" t="s">
        <v>364</v>
      </c>
      <c r="K35" s="203" t="s">
        <v>165</v>
      </c>
      <c r="L35" s="203" t="s">
        <v>133</v>
      </c>
      <c r="M35" s="203" t="s">
        <v>364</v>
      </c>
      <c r="N35" s="203" t="s">
        <v>166</v>
      </c>
      <c r="O35" s="204"/>
      <c r="P35" s="50"/>
      <c r="Q35" s="128"/>
      <c r="R35" s="50"/>
      <c r="S35" s="50"/>
      <c r="T35" s="50"/>
      <c r="U35" s="50"/>
      <c r="V35" s="50"/>
      <c r="W35" s="50"/>
      <c r="X35" s="50"/>
      <c r="Y35" s="50"/>
      <c r="Z35" s="50"/>
    </row>
    <row r="36">
      <c r="A36" s="205"/>
      <c r="B36" s="205"/>
      <c r="C36" s="206"/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7"/>
      <c r="P36" s="68"/>
      <c r="Q36" s="121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208"/>
      <c r="B37" s="208"/>
      <c r="C37" s="209"/>
      <c r="D37" s="208"/>
      <c r="E37" s="208"/>
      <c r="F37" s="208"/>
      <c r="G37" s="208"/>
      <c r="H37" s="208"/>
      <c r="I37" s="208"/>
      <c r="J37" s="208"/>
      <c r="K37" s="208"/>
      <c r="L37" s="208"/>
      <c r="M37" s="208"/>
      <c r="N37" s="208"/>
      <c r="O37" s="210"/>
      <c r="P37" s="68"/>
      <c r="Q37" s="121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208"/>
      <c r="B38" s="208"/>
      <c r="C38" s="209"/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10"/>
      <c r="P38" s="68"/>
      <c r="Q38" s="121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208"/>
      <c r="B39" s="208"/>
      <c r="C39" s="209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10"/>
      <c r="P39" s="68"/>
      <c r="Q39" s="121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208"/>
      <c r="B40" s="208"/>
      <c r="C40" s="209"/>
      <c r="D40" s="208"/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10"/>
      <c r="P40" s="68"/>
      <c r="Q40" s="121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208"/>
      <c r="B41" s="208"/>
      <c r="C41" s="209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10"/>
      <c r="P41" s="68"/>
      <c r="Q41" s="12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10"/>
      <c r="Q42" s="12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1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1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1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1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1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1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1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1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1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1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1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1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1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1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1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1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1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1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1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1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1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1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1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1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1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1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1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1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1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1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1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1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1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1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1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1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1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1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1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1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1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1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1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1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1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1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1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1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1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1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1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1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1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1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1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1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1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1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1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1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1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1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1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1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1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1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1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1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1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1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1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1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1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1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1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1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1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1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1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1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1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1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1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1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1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1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1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1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1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1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1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1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1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1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1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1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1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1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1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1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1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1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1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1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1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1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1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1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1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1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1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1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1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1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1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1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1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1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1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1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1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1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1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1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1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1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1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1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1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1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1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1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1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1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1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1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1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1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1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1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1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1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1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1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1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1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1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1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1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1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1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1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1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1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1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1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1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1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1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1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1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1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1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1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1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1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1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1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1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1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1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1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1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1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1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1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1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1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1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1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1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1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1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1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1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1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1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1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1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1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1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1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1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1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1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1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1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1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1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1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1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1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1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1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1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1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1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1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1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1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1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1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1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1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1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1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1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1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1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1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1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1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1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1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1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1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1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1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1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1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1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1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1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1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1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1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1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1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1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1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1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1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1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1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1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1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1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1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1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1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1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1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1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1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1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1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1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1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1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1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1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1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1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1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1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1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1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1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1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1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1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1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1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1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1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1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1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1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1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1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1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1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1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1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1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1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1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1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1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1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1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1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1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1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1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1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1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1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1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1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1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1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1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1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1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1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1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1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1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1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1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1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1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1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1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1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1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1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1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1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1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1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1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1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1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1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1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1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1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1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1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1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1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1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1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1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1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1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1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1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1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1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1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1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1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1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1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1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1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1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1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1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1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1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1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1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1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1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1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1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1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1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1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1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1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1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1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1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1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1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1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1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1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1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1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1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1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1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1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1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1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1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1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1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1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1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1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1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1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1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1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1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1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1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1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1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1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1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1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1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1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1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1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1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1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1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1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1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1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1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1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1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1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1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1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1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1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1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1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1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1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1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1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1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1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1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1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1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1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1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1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1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1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1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1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1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1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1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1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1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1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1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1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1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1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1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1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1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1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1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1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1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1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1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1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1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1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1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1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1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1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1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1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1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1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1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1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1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1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1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1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1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1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1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1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1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1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1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1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1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1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1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1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1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1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1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1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1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1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1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1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1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1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1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1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1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1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1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1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1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1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1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1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1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1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1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1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1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1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1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1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1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1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1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1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1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1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1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1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1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1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1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1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1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1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1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1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1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1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1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1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1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1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1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1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1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1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1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1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1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1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1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1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1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1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1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1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1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1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1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1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1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1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1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1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1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1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1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1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1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1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1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1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1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1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1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1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1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1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1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1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1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1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1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1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1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1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1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1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1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1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1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1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1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1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1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1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1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1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1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1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1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1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1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1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1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1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1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1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1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1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1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1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1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1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1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1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1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1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1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1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1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1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1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1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1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1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1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1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1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1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1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1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1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1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1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1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1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1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1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1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1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1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1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1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1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1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1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1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1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1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1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1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1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1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1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1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1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1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1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1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1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1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1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1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1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1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1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1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1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1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1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1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1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1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1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1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1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1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1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1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1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1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1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1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1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1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1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1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1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1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1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1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1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1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1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1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1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1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1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1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1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1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1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1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1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1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1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1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1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1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1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1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1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1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1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1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1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1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1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1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1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1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1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1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1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1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1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1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1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1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1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1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1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1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1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1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1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1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1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1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1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1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1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1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1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21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21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21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21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21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21"/>
      <c r="R997" s="10"/>
      <c r="S997" s="10"/>
      <c r="T997" s="10"/>
      <c r="U997" s="10"/>
      <c r="V997" s="10"/>
      <c r="W997" s="10"/>
      <c r="X997" s="10"/>
      <c r="Y997" s="10"/>
      <c r="Z997" s="10"/>
    </row>
  </sheetData>
  <mergeCells count="8">
    <mergeCell ref="B2:E2"/>
    <mergeCell ref="B3:E3"/>
    <mergeCell ref="B4:E4"/>
    <mergeCell ref="A11:E11"/>
    <mergeCell ref="A16:E16"/>
    <mergeCell ref="A21:E21"/>
    <mergeCell ref="A25:E25"/>
    <mergeCell ref="A30:E30"/>
  </mergeCells>
  <dataValidations>
    <dataValidation type="list" allowBlank="1" showErrorMessage="1" sqref="G2:G3 J2:J3 M2:M3 G9 J9 M9 F11:F41 I11:I41 L11:L41 G42:G142 J42:J142 M42:M142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5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2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22" t="s">
        <v>145</v>
      </c>
      <c r="B2" s="123" t="s">
        <v>501</v>
      </c>
      <c r="C2" s="124"/>
      <c r="D2" s="124"/>
      <c r="E2" s="125"/>
      <c r="F2" s="126"/>
      <c r="G2" s="127"/>
      <c r="H2" s="50"/>
      <c r="I2" s="126"/>
      <c r="J2" s="127"/>
      <c r="K2" s="50"/>
      <c r="L2" s="126"/>
      <c r="M2" s="127"/>
      <c r="N2" s="50"/>
      <c r="O2" s="50"/>
      <c r="P2" s="50"/>
      <c r="Q2" s="128"/>
      <c r="R2" s="129" t="s">
        <v>133</v>
      </c>
      <c r="S2" s="129"/>
      <c r="T2" s="129"/>
      <c r="U2" s="129"/>
      <c r="V2" s="129"/>
      <c r="W2" s="129"/>
      <c r="X2" s="129"/>
      <c r="Y2" s="129"/>
      <c r="Z2" s="129"/>
    </row>
    <row r="3" ht="12.75" customHeight="1">
      <c r="A3" s="130" t="s">
        <v>146</v>
      </c>
      <c r="B3" s="131" t="s">
        <v>502</v>
      </c>
      <c r="C3" s="5"/>
      <c r="D3" s="5"/>
      <c r="E3" s="132"/>
      <c r="F3" s="126"/>
      <c r="G3" s="127"/>
      <c r="H3" s="50"/>
      <c r="I3" s="126"/>
      <c r="J3" s="127"/>
      <c r="K3" s="50"/>
      <c r="L3" s="126"/>
      <c r="M3" s="127"/>
      <c r="N3" s="50"/>
      <c r="O3" s="50"/>
      <c r="P3" s="50"/>
      <c r="Q3" s="128"/>
      <c r="R3" s="129" t="s">
        <v>134</v>
      </c>
      <c r="S3" s="129"/>
      <c r="T3" s="129"/>
      <c r="U3" s="129"/>
      <c r="V3" s="129"/>
      <c r="W3" s="129"/>
      <c r="X3" s="129"/>
      <c r="Y3" s="129"/>
      <c r="Z3" s="129"/>
    </row>
    <row r="4" ht="18.0" customHeight="1">
      <c r="A4" s="130" t="s">
        <v>147</v>
      </c>
      <c r="B4" s="133">
        <f>COUNTIF(A11:A311, "OP*")</f>
        <v>22</v>
      </c>
      <c r="C4" s="5"/>
      <c r="D4" s="5"/>
      <c r="E4" s="132"/>
      <c r="F4" s="126"/>
      <c r="G4" s="127"/>
      <c r="H4" s="50"/>
      <c r="I4" s="126"/>
      <c r="J4" s="127"/>
      <c r="K4" s="50"/>
      <c r="L4" s="126"/>
      <c r="M4" s="127"/>
      <c r="N4" s="50"/>
      <c r="O4" s="50"/>
      <c r="P4" s="50"/>
      <c r="Q4" s="128"/>
      <c r="R4" s="129" t="s">
        <v>135</v>
      </c>
      <c r="S4" s="129"/>
      <c r="T4" s="129"/>
      <c r="U4" s="129"/>
      <c r="V4" s="129"/>
      <c r="W4" s="129"/>
      <c r="X4" s="129"/>
      <c r="Y4" s="129"/>
      <c r="Z4" s="129"/>
    </row>
    <row r="5" ht="19.5" customHeight="1">
      <c r="A5" s="134" t="s">
        <v>148</v>
      </c>
      <c r="B5" s="135" t="s">
        <v>133</v>
      </c>
      <c r="C5" s="135" t="s">
        <v>134</v>
      </c>
      <c r="D5" s="135" t="s">
        <v>135</v>
      </c>
      <c r="E5" s="136" t="s">
        <v>136</v>
      </c>
      <c r="F5" s="137"/>
      <c r="G5" s="137"/>
      <c r="H5" s="138"/>
      <c r="I5" s="137"/>
      <c r="J5" s="137"/>
      <c r="K5" s="138"/>
      <c r="L5" s="137"/>
      <c r="M5" s="137"/>
      <c r="N5" s="138"/>
      <c r="O5" s="138"/>
      <c r="P5" s="138"/>
      <c r="Q5" s="139"/>
      <c r="R5" s="129" t="s">
        <v>136</v>
      </c>
      <c r="S5" s="129"/>
      <c r="T5" s="129"/>
      <c r="U5" s="129"/>
      <c r="V5" s="129"/>
      <c r="W5" s="129"/>
      <c r="X5" s="129"/>
      <c r="Y5" s="129"/>
      <c r="Z5" s="129"/>
    </row>
    <row r="6" ht="15.0" customHeight="1">
      <c r="A6" s="134" t="s">
        <v>149</v>
      </c>
      <c r="B6" s="140">
        <f t="shared" ref="B6:E6" si="1">COUNTIF($F10:$F987,B5)</f>
        <v>22</v>
      </c>
      <c r="C6" s="140">
        <f t="shared" si="1"/>
        <v>0</v>
      </c>
      <c r="D6" s="140">
        <f t="shared" si="1"/>
        <v>0</v>
      </c>
      <c r="E6" s="141">
        <f t="shared" si="1"/>
        <v>0</v>
      </c>
      <c r="F6" s="142"/>
      <c r="G6" s="142"/>
      <c r="H6" s="138"/>
      <c r="I6" s="142"/>
      <c r="J6" s="142"/>
      <c r="K6" s="138"/>
      <c r="L6" s="142"/>
      <c r="M6" s="142"/>
      <c r="N6" s="138"/>
      <c r="O6" s="138"/>
      <c r="P6" s="138"/>
      <c r="Q6" s="139"/>
      <c r="R6" s="129"/>
      <c r="S6" s="129"/>
      <c r="T6" s="129"/>
      <c r="U6" s="129"/>
      <c r="V6" s="129"/>
      <c r="W6" s="129"/>
      <c r="X6" s="129"/>
      <c r="Y6" s="129"/>
      <c r="Z6" s="129"/>
    </row>
    <row r="7" ht="15.0" customHeight="1">
      <c r="A7" s="134" t="s">
        <v>150</v>
      </c>
      <c r="B7" s="140">
        <f t="shared" ref="B7:E7" si="2">COUNTIF($F10:$F987,B5)</f>
        <v>22</v>
      </c>
      <c r="C7" s="140">
        <f t="shared" si="2"/>
        <v>0</v>
      </c>
      <c r="D7" s="140">
        <f t="shared" si="2"/>
        <v>0</v>
      </c>
      <c r="E7" s="141">
        <f t="shared" si="2"/>
        <v>0</v>
      </c>
      <c r="F7" s="142"/>
      <c r="G7" s="142"/>
      <c r="H7" s="138"/>
      <c r="I7" s="142"/>
      <c r="J7" s="142"/>
      <c r="K7" s="138"/>
      <c r="L7" s="142"/>
      <c r="M7" s="142"/>
      <c r="N7" s="138"/>
      <c r="O7" s="138"/>
      <c r="P7" s="138"/>
      <c r="Q7" s="139"/>
      <c r="R7" s="129"/>
      <c r="S7" s="129"/>
      <c r="T7" s="129"/>
      <c r="U7" s="129"/>
      <c r="V7" s="129"/>
      <c r="W7" s="129"/>
      <c r="X7" s="129"/>
      <c r="Y7" s="129"/>
      <c r="Z7" s="129"/>
    </row>
    <row r="8" ht="15.0" customHeight="1">
      <c r="A8" s="143" t="s">
        <v>151</v>
      </c>
      <c r="B8" s="144">
        <f t="shared" ref="B8:E8" si="3">COUNTIF($F10:$F987,B5)</f>
        <v>22</v>
      </c>
      <c r="C8" s="144">
        <f t="shared" si="3"/>
        <v>0</v>
      </c>
      <c r="D8" s="144">
        <f t="shared" si="3"/>
        <v>0</v>
      </c>
      <c r="E8" s="145">
        <f t="shared" si="3"/>
        <v>0</v>
      </c>
      <c r="F8" s="142"/>
      <c r="G8" s="142"/>
      <c r="H8" s="138"/>
      <c r="I8" s="142"/>
      <c r="J8" s="142"/>
      <c r="K8" s="138"/>
      <c r="L8" s="142"/>
      <c r="M8" s="142"/>
      <c r="N8" s="138"/>
      <c r="O8" s="138"/>
      <c r="P8" s="138"/>
      <c r="Q8" s="139"/>
      <c r="R8" s="129"/>
      <c r="S8" s="129"/>
      <c r="T8" s="129"/>
      <c r="U8" s="129"/>
      <c r="V8" s="129"/>
      <c r="W8" s="129"/>
      <c r="X8" s="129"/>
      <c r="Y8" s="129"/>
      <c r="Z8" s="129"/>
    </row>
    <row r="9" ht="15.0" customHeight="1">
      <c r="A9" s="138"/>
      <c r="B9" s="138"/>
      <c r="C9" s="138"/>
      <c r="D9" s="138"/>
      <c r="E9" s="138"/>
      <c r="F9" s="120"/>
      <c r="G9" s="138"/>
      <c r="H9" s="138"/>
      <c r="I9" s="120"/>
      <c r="J9" s="138"/>
      <c r="K9" s="138"/>
      <c r="L9" s="120"/>
      <c r="M9" s="138"/>
      <c r="N9" s="138"/>
      <c r="O9" s="138"/>
      <c r="P9" s="138"/>
      <c r="Q9" s="139"/>
      <c r="R9" s="129"/>
      <c r="S9" s="129"/>
      <c r="T9" s="129"/>
      <c r="U9" s="129"/>
      <c r="V9" s="129"/>
      <c r="W9" s="129"/>
      <c r="X9" s="129"/>
      <c r="Y9" s="129"/>
      <c r="Z9" s="129"/>
    </row>
    <row r="10" ht="25.5" customHeight="1">
      <c r="A10" s="146" t="s">
        <v>152</v>
      </c>
      <c r="B10" s="146" t="s">
        <v>153</v>
      </c>
      <c r="C10" s="146" t="s">
        <v>154</v>
      </c>
      <c r="D10" s="146" t="s">
        <v>155</v>
      </c>
      <c r="E10" s="146" t="s">
        <v>156</v>
      </c>
      <c r="F10" s="146" t="s">
        <v>149</v>
      </c>
      <c r="G10" s="146" t="s">
        <v>157</v>
      </c>
      <c r="H10" s="146" t="s">
        <v>158</v>
      </c>
      <c r="I10" s="146" t="s">
        <v>150</v>
      </c>
      <c r="J10" s="146" t="s">
        <v>157</v>
      </c>
      <c r="K10" s="146" t="s">
        <v>158</v>
      </c>
      <c r="L10" s="146" t="s">
        <v>151</v>
      </c>
      <c r="M10" s="146" t="s">
        <v>157</v>
      </c>
      <c r="N10" s="146" t="s">
        <v>158</v>
      </c>
      <c r="O10" s="146" t="s">
        <v>159</v>
      </c>
      <c r="P10" s="129"/>
      <c r="Q10" s="147"/>
      <c r="R10" s="129"/>
      <c r="S10" s="129"/>
      <c r="T10" s="129"/>
      <c r="U10" s="129"/>
      <c r="V10" s="129"/>
      <c r="W10" s="129"/>
      <c r="X10" s="129"/>
      <c r="Y10" s="129"/>
      <c r="Z10" s="129"/>
    </row>
    <row r="11">
      <c r="A11" s="211" t="s">
        <v>503</v>
      </c>
      <c r="B11" s="212"/>
      <c r="C11" s="213"/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10"/>
      <c r="Q11" s="121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96" t="s">
        <v>504</v>
      </c>
      <c r="B12" s="196" t="s">
        <v>505</v>
      </c>
      <c r="C12" s="196" t="s">
        <v>506</v>
      </c>
      <c r="D12" s="196" t="s">
        <v>507</v>
      </c>
      <c r="E12" s="196" t="s">
        <v>508</v>
      </c>
      <c r="F12" s="196" t="s">
        <v>133</v>
      </c>
      <c r="G12" s="196" t="s">
        <v>364</v>
      </c>
      <c r="H12" s="196" t="s">
        <v>4</v>
      </c>
      <c r="I12" s="196" t="s">
        <v>133</v>
      </c>
      <c r="J12" s="196" t="s">
        <v>364</v>
      </c>
      <c r="K12" s="196" t="s">
        <v>165</v>
      </c>
      <c r="L12" s="196" t="s">
        <v>133</v>
      </c>
      <c r="M12" s="196" t="s">
        <v>364</v>
      </c>
      <c r="N12" s="196" t="s">
        <v>166</v>
      </c>
      <c r="O12" s="214"/>
      <c r="P12" s="10"/>
      <c r="Q12" s="121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96" t="s">
        <v>509</v>
      </c>
      <c r="B13" s="196" t="s">
        <v>510</v>
      </c>
      <c r="C13" s="196" t="s">
        <v>511</v>
      </c>
      <c r="D13" s="196" t="s">
        <v>512</v>
      </c>
      <c r="E13" s="196" t="s">
        <v>513</v>
      </c>
      <c r="F13" s="153" t="s">
        <v>133</v>
      </c>
      <c r="G13" s="153" t="s">
        <v>364</v>
      </c>
      <c r="H13" s="153" t="s">
        <v>4</v>
      </c>
      <c r="I13" s="153" t="s">
        <v>133</v>
      </c>
      <c r="J13" s="153" t="s">
        <v>364</v>
      </c>
      <c r="K13" s="153" t="s">
        <v>165</v>
      </c>
      <c r="L13" s="153" t="s">
        <v>133</v>
      </c>
      <c r="M13" s="153" t="s">
        <v>364</v>
      </c>
      <c r="N13" s="153" t="s">
        <v>166</v>
      </c>
      <c r="O13" s="75"/>
      <c r="P13" s="10"/>
      <c r="Q13" s="121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96" t="s">
        <v>514</v>
      </c>
      <c r="B14" s="196" t="s">
        <v>515</v>
      </c>
      <c r="C14" s="196" t="s">
        <v>516</v>
      </c>
      <c r="D14" s="196" t="s">
        <v>517</v>
      </c>
      <c r="E14" s="196" t="s">
        <v>518</v>
      </c>
      <c r="F14" s="153" t="s">
        <v>133</v>
      </c>
      <c r="G14" s="153" t="s">
        <v>364</v>
      </c>
      <c r="H14" s="153" t="s">
        <v>4</v>
      </c>
      <c r="I14" s="153" t="s">
        <v>133</v>
      </c>
      <c r="J14" s="153" t="s">
        <v>364</v>
      </c>
      <c r="K14" s="153" t="s">
        <v>165</v>
      </c>
      <c r="L14" s="153" t="s">
        <v>133</v>
      </c>
      <c r="M14" s="153" t="s">
        <v>364</v>
      </c>
      <c r="N14" s="153" t="s">
        <v>166</v>
      </c>
      <c r="O14" s="215"/>
      <c r="P14" s="10"/>
      <c r="Q14" s="121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96" t="s">
        <v>519</v>
      </c>
      <c r="B15" s="196" t="s">
        <v>520</v>
      </c>
      <c r="C15" s="196" t="s">
        <v>521</v>
      </c>
      <c r="D15" s="196" t="s">
        <v>522</v>
      </c>
      <c r="E15" s="196" t="s">
        <v>523</v>
      </c>
      <c r="F15" s="196" t="s">
        <v>133</v>
      </c>
      <c r="G15" s="196" t="s">
        <v>364</v>
      </c>
      <c r="H15" s="196" t="s">
        <v>4</v>
      </c>
      <c r="I15" s="196" t="s">
        <v>133</v>
      </c>
      <c r="J15" s="196" t="s">
        <v>364</v>
      </c>
      <c r="K15" s="196" t="s">
        <v>165</v>
      </c>
      <c r="L15" s="196" t="s">
        <v>133</v>
      </c>
      <c r="M15" s="196" t="s">
        <v>364</v>
      </c>
      <c r="N15" s="196" t="s">
        <v>166</v>
      </c>
      <c r="O15" s="197"/>
      <c r="P15" s="10"/>
      <c r="Q15" s="121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96" t="s">
        <v>524</v>
      </c>
      <c r="B16" s="196" t="s">
        <v>525</v>
      </c>
      <c r="C16" s="196" t="s">
        <v>526</v>
      </c>
      <c r="D16" s="196" t="s">
        <v>527</v>
      </c>
      <c r="E16" s="196" t="s">
        <v>528</v>
      </c>
      <c r="F16" s="196" t="s">
        <v>133</v>
      </c>
      <c r="G16" s="196" t="s">
        <v>364</v>
      </c>
      <c r="H16" s="196" t="s">
        <v>4</v>
      </c>
      <c r="I16" s="196" t="s">
        <v>133</v>
      </c>
      <c r="J16" s="196" t="s">
        <v>364</v>
      </c>
      <c r="K16" s="196" t="s">
        <v>165</v>
      </c>
      <c r="L16" s="196" t="s">
        <v>133</v>
      </c>
      <c r="M16" s="196" t="s">
        <v>364</v>
      </c>
      <c r="N16" s="196" t="s">
        <v>166</v>
      </c>
      <c r="O16" s="197"/>
      <c r="P16" s="10"/>
      <c r="Q16" s="121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96" t="s">
        <v>529</v>
      </c>
      <c r="B17" s="196" t="s">
        <v>530</v>
      </c>
      <c r="C17" s="196" t="s">
        <v>531</v>
      </c>
      <c r="D17" s="196" t="s">
        <v>532</v>
      </c>
      <c r="E17" s="196" t="s">
        <v>533</v>
      </c>
      <c r="F17" s="196" t="s">
        <v>133</v>
      </c>
      <c r="G17" s="196" t="s">
        <v>364</v>
      </c>
      <c r="H17" s="196" t="s">
        <v>4</v>
      </c>
      <c r="I17" s="196" t="s">
        <v>133</v>
      </c>
      <c r="J17" s="196" t="s">
        <v>364</v>
      </c>
      <c r="K17" s="196" t="s">
        <v>165</v>
      </c>
      <c r="L17" s="196" t="s">
        <v>133</v>
      </c>
      <c r="M17" s="196" t="s">
        <v>364</v>
      </c>
      <c r="N17" s="196" t="s">
        <v>166</v>
      </c>
      <c r="O17" s="197"/>
      <c r="P17" s="10"/>
      <c r="Q17" s="121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96" t="s">
        <v>534</v>
      </c>
      <c r="B18" s="196" t="s">
        <v>535</v>
      </c>
      <c r="C18" s="196" t="s">
        <v>536</v>
      </c>
      <c r="D18" s="196" t="s">
        <v>537</v>
      </c>
      <c r="E18" s="196" t="s">
        <v>538</v>
      </c>
      <c r="F18" s="196" t="s">
        <v>133</v>
      </c>
      <c r="G18" s="196" t="s">
        <v>364</v>
      </c>
      <c r="H18" s="196" t="s">
        <v>4</v>
      </c>
      <c r="I18" s="196" t="s">
        <v>133</v>
      </c>
      <c r="J18" s="196" t="s">
        <v>364</v>
      </c>
      <c r="K18" s="196" t="s">
        <v>165</v>
      </c>
      <c r="L18" s="196" t="s">
        <v>133</v>
      </c>
      <c r="M18" s="196" t="s">
        <v>364</v>
      </c>
      <c r="N18" s="196" t="s">
        <v>166</v>
      </c>
      <c r="O18" s="197"/>
      <c r="P18" s="10"/>
      <c r="Q18" s="121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96" t="s">
        <v>539</v>
      </c>
      <c r="B19" s="196" t="s">
        <v>540</v>
      </c>
      <c r="C19" s="196" t="s">
        <v>541</v>
      </c>
      <c r="D19" s="196" t="s">
        <v>542</v>
      </c>
      <c r="E19" s="196" t="s">
        <v>543</v>
      </c>
      <c r="F19" s="196" t="s">
        <v>133</v>
      </c>
      <c r="G19" s="196" t="s">
        <v>364</v>
      </c>
      <c r="H19" s="196" t="s">
        <v>4</v>
      </c>
      <c r="I19" s="196" t="s">
        <v>133</v>
      </c>
      <c r="J19" s="196" t="s">
        <v>364</v>
      </c>
      <c r="K19" s="196" t="s">
        <v>165</v>
      </c>
      <c r="L19" s="196" t="s">
        <v>133</v>
      </c>
      <c r="M19" s="196" t="s">
        <v>364</v>
      </c>
      <c r="N19" s="196" t="s">
        <v>166</v>
      </c>
      <c r="O19" s="197"/>
      <c r="P19" s="10"/>
      <c r="Q19" s="121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96" t="s">
        <v>544</v>
      </c>
      <c r="B20" s="196" t="s">
        <v>545</v>
      </c>
      <c r="C20" s="196" t="s">
        <v>546</v>
      </c>
      <c r="D20" s="196" t="s">
        <v>547</v>
      </c>
      <c r="E20" s="196" t="s">
        <v>543</v>
      </c>
      <c r="F20" s="196" t="s">
        <v>133</v>
      </c>
      <c r="G20" s="196" t="s">
        <v>364</v>
      </c>
      <c r="H20" s="196" t="s">
        <v>4</v>
      </c>
      <c r="I20" s="196" t="s">
        <v>133</v>
      </c>
      <c r="J20" s="196" t="s">
        <v>364</v>
      </c>
      <c r="K20" s="196" t="s">
        <v>165</v>
      </c>
      <c r="L20" s="196" t="s">
        <v>133</v>
      </c>
      <c r="M20" s="196" t="s">
        <v>364</v>
      </c>
      <c r="N20" s="196" t="s">
        <v>166</v>
      </c>
      <c r="O20" s="197"/>
      <c r="P20" s="10"/>
      <c r="Q20" s="121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96" t="s">
        <v>548</v>
      </c>
      <c r="B21" s="196" t="s">
        <v>549</v>
      </c>
      <c r="C21" s="196" t="s">
        <v>550</v>
      </c>
      <c r="D21" s="196" t="s">
        <v>542</v>
      </c>
      <c r="E21" s="196" t="s">
        <v>551</v>
      </c>
      <c r="F21" s="196" t="s">
        <v>133</v>
      </c>
      <c r="G21" s="196" t="s">
        <v>364</v>
      </c>
      <c r="H21" s="196" t="s">
        <v>4</v>
      </c>
      <c r="I21" s="196" t="s">
        <v>133</v>
      </c>
      <c r="J21" s="196" t="s">
        <v>364</v>
      </c>
      <c r="K21" s="196" t="s">
        <v>165</v>
      </c>
      <c r="L21" s="196" t="s">
        <v>133</v>
      </c>
      <c r="M21" s="196" t="s">
        <v>364</v>
      </c>
      <c r="N21" s="196" t="s">
        <v>166</v>
      </c>
      <c r="O21" s="197"/>
      <c r="P21" s="10"/>
      <c r="Q21" s="121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96" t="s">
        <v>552</v>
      </c>
      <c r="B22" s="196" t="s">
        <v>553</v>
      </c>
      <c r="C22" s="196" t="s">
        <v>554</v>
      </c>
      <c r="D22" s="196" t="s">
        <v>555</v>
      </c>
      <c r="E22" s="196" t="s">
        <v>556</v>
      </c>
      <c r="F22" s="196" t="s">
        <v>133</v>
      </c>
      <c r="G22" s="196" t="s">
        <v>364</v>
      </c>
      <c r="H22" s="196" t="s">
        <v>4</v>
      </c>
      <c r="I22" s="196" t="s">
        <v>133</v>
      </c>
      <c r="J22" s="196" t="s">
        <v>364</v>
      </c>
      <c r="K22" s="196" t="s">
        <v>165</v>
      </c>
      <c r="L22" s="196" t="s">
        <v>133</v>
      </c>
      <c r="M22" s="196" t="s">
        <v>364</v>
      </c>
      <c r="N22" s="196" t="s">
        <v>166</v>
      </c>
      <c r="O22" s="197"/>
      <c r="P22" s="10"/>
      <c r="Q22" s="121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96" t="s">
        <v>557</v>
      </c>
      <c r="B23" s="196" t="s">
        <v>558</v>
      </c>
      <c r="C23" s="196" t="s">
        <v>559</v>
      </c>
      <c r="D23" s="196" t="s">
        <v>560</v>
      </c>
      <c r="E23" s="196" t="s">
        <v>561</v>
      </c>
      <c r="F23" s="196" t="s">
        <v>133</v>
      </c>
      <c r="G23" s="196" t="s">
        <v>364</v>
      </c>
      <c r="H23" s="196" t="s">
        <v>4</v>
      </c>
      <c r="I23" s="196" t="s">
        <v>133</v>
      </c>
      <c r="J23" s="196" t="s">
        <v>364</v>
      </c>
      <c r="K23" s="196" t="s">
        <v>165</v>
      </c>
      <c r="L23" s="196" t="s">
        <v>133</v>
      </c>
      <c r="M23" s="196" t="s">
        <v>364</v>
      </c>
      <c r="N23" s="196" t="s">
        <v>166</v>
      </c>
      <c r="O23" s="197"/>
      <c r="P23" s="10"/>
      <c r="Q23" s="121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211" t="s">
        <v>562</v>
      </c>
      <c r="B24" s="212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10"/>
      <c r="Q24" s="121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96" t="s">
        <v>563</v>
      </c>
      <c r="B25" s="196" t="s">
        <v>564</v>
      </c>
      <c r="C25" s="196" t="s">
        <v>565</v>
      </c>
      <c r="D25" s="196" t="s">
        <v>566</v>
      </c>
      <c r="E25" s="196" t="s">
        <v>567</v>
      </c>
      <c r="F25" s="196" t="s">
        <v>133</v>
      </c>
      <c r="G25" s="196" t="s">
        <v>364</v>
      </c>
      <c r="H25" s="196" t="s">
        <v>4</v>
      </c>
      <c r="I25" s="196" t="s">
        <v>133</v>
      </c>
      <c r="J25" s="196" t="s">
        <v>364</v>
      </c>
      <c r="K25" s="196" t="s">
        <v>165</v>
      </c>
      <c r="L25" s="196" t="s">
        <v>133</v>
      </c>
      <c r="M25" s="196" t="s">
        <v>364</v>
      </c>
      <c r="N25" s="196" t="s">
        <v>166</v>
      </c>
      <c r="O25" s="197"/>
      <c r="P25" s="10"/>
      <c r="Q25" s="121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96" t="s">
        <v>568</v>
      </c>
      <c r="B26" s="196" t="s">
        <v>569</v>
      </c>
      <c r="C26" s="196" t="s">
        <v>570</v>
      </c>
      <c r="D26" s="196" t="s">
        <v>571</v>
      </c>
      <c r="E26" s="196" t="s">
        <v>572</v>
      </c>
      <c r="F26" s="196" t="s">
        <v>133</v>
      </c>
      <c r="G26" s="196" t="s">
        <v>364</v>
      </c>
      <c r="H26" s="196" t="s">
        <v>4</v>
      </c>
      <c r="I26" s="196" t="s">
        <v>133</v>
      </c>
      <c r="J26" s="196" t="s">
        <v>364</v>
      </c>
      <c r="K26" s="196" t="s">
        <v>165</v>
      </c>
      <c r="L26" s="196" t="s">
        <v>133</v>
      </c>
      <c r="M26" s="196" t="s">
        <v>364</v>
      </c>
      <c r="N26" s="196" t="s">
        <v>166</v>
      </c>
      <c r="O26" s="197"/>
      <c r="P26" s="10"/>
      <c r="Q26" s="121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96" t="s">
        <v>573</v>
      </c>
      <c r="B27" s="196" t="s">
        <v>574</v>
      </c>
      <c r="C27" s="196" t="s">
        <v>575</v>
      </c>
      <c r="D27" s="196" t="s">
        <v>576</v>
      </c>
      <c r="E27" s="196" t="s">
        <v>577</v>
      </c>
      <c r="F27" s="196" t="s">
        <v>133</v>
      </c>
      <c r="G27" s="196" t="s">
        <v>364</v>
      </c>
      <c r="H27" s="196" t="s">
        <v>4</v>
      </c>
      <c r="I27" s="196" t="s">
        <v>133</v>
      </c>
      <c r="J27" s="196" t="s">
        <v>364</v>
      </c>
      <c r="K27" s="196" t="s">
        <v>165</v>
      </c>
      <c r="L27" s="196" t="s">
        <v>133</v>
      </c>
      <c r="M27" s="196" t="s">
        <v>364</v>
      </c>
      <c r="N27" s="196" t="s">
        <v>166</v>
      </c>
      <c r="O27" s="197"/>
      <c r="P27" s="10"/>
      <c r="Q27" s="121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96" t="s">
        <v>578</v>
      </c>
      <c r="B28" s="196" t="s">
        <v>579</v>
      </c>
      <c r="C28" s="196" t="s">
        <v>580</v>
      </c>
      <c r="D28" s="196" t="s">
        <v>576</v>
      </c>
      <c r="E28" s="196" t="s">
        <v>577</v>
      </c>
      <c r="F28" s="196" t="s">
        <v>133</v>
      </c>
      <c r="G28" s="196" t="s">
        <v>364</v>
      </c>
      <c r="H28" s="196" t="s">
        <v>4</v>
      </c>
      <c r="I28" s="196" t="s">
        <v>133</v>
      </c>
      <c r="J28" s="196" t="s">
        <v>364</v>
      </c>
      <c r="K28" s="196" t="s">
        <v>165</v>
      </c>
      <c r="L28" s="196" t="s">
        <v>133</v>
      </c>
      <c r="M28" s="196" t="s">
        <v>364</v>
      </c>
      <c r="N28" s="196" t="s">
        <v>166</v>
      </c>
      <c r="O28" s="197"/>
      <c r="P28" s="10"/>
      <c r="Q28" s="121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96" t="s">
        <v>581</v>
      </c>
      <c r="B29" s="196" t="s">
        <v>582</v>
      </c>
      <c r="C29" s="196" t="s">
        <v>583</v>
      </c>
      <c r="D29" s="196" t="s">
        <v>584</v>
      </c>
      <c r="E29" s="196" t="s">
        <v>538</v>
      </c>
      <c r="F29" s="196" t="s">
        <v>133</v>
      </c>
      <c r="G29" s="196" t="s">
        <v>364</v>
      </c>
      <c r="H29" s="196" t="s">
        <v>4</v>
      </c>
      <c r="I29" s="196" t="s">
        <v>133</v>
      </c>
      <c r="J29" s="196" t="s">
        <v>364</v>
      </c>
      <c r="K29" s="196" t="s">
        <v>165</v>
      </c>
      <c r="L29" s="196" t="s">
        <v>133</v>
      </c>
      <c r="M29" s="196" t="s">
        <v>364</v>
      </c>
      <c r="N29" s="196" t="s">
        <v>166</v>
      </c>
      <c r="O29" s="197"/>
      <c r="P29" s="10"/>
      <c r="Q29" s="121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96" t="s">
        <v>585</v>
      </c>
      <c r="B30" s="196" t="s">
        <v>586</v>
      </c>
      <c r="C30" s="196" t="s">
        <v>587</v>
      </c>
      <c r="D30" s="196" t="s">
        <v>571</v>
      </c>
      <c r="E30" s="196" t="s">
        <v>572</v>
      </c>
      <c r="F30" s="196" t="s">
        <v>133</v>
      </c>
      <c r="G30" s="196" t="s">
        <v>364</v>
      </c>
      <c r="H30" s="196" t="s">
        <v>4</v>
      </c>
      <c r="I30" s="196" t="s">
        <v>133</v>
      </c>
      <c r="J30" s="196" t="s">
        <v>364</v>
      </c>
      <c r="K30" s="196" t="s">
        <v>165</v>
      </c>
      <c r="L30" s="196" t="s">
        <v>133</v>
      </c>
      <c r="M30" s="196" t="s">
        <v>364</v>
      </c>
      <c r="N30" s="196" t="s">
        <v>166</v>
      </c>
      <c r="O30" s="197"/>
      <c r="P30" s="10"/>
      <c r="Q30" s="121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96" t="s">
        <v>588</v>
      </c>
      <c r="B31" s="196" t="s">
        <v>589</v>
      </c>
      <c r="C31" s="196" t="s">
        <v>590</v>
      </c>
      <c r="D31" s="196" t="s">
        <v>591</v>
      </c>
      <c r="E31" s="196" t="s">
        <v>592</v>
      </c>
      <c r="F31" s="196" t="s">
        <v>133</v>
      </c>
      <c r="G31" s="196" t="s">
        <v>364</v>
      </c>
      <c r="H31" s="196" t="s">
        <v>4</v>
      </c>
      <c r="I31" s="196" t="s">
        <v>133</v>
      </c>
      <c r="J31" s="196" t="s">
        <v>364</v>
      </c>
      <c r="K31" s="196" t="s">
        <v>165</v>
      </c>
      <c r="L31" s="196" t="s">
        <v>133</v>
      </c>
      <c r="M31" s="196" t="s">
        <v>364</v>
      </c>
      <c r="N31" s="196" t="s">
        <v>166</v>
      </c>
      <c r="O31" s="197"/>
      <c r="P31" s="10"/>
      <c r="Q31" s="121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96" t="s">
        <v>593</v>
      </c>
      <c r="B32" s="196" t="s">
        <v>594</v>
      </c>
      <c r="C32" s="196" t="s">
        <v>595</v>
      </c>
      <c r="D32" s="196" t="s">
        <v>596</v>
      </c>
      <c r="E32" s="196" t="s">
        <v>597</v>
      </c>
      <c r="F32" s="196" t="s">
        <v>133</v>
      </c>
      <c r="G32" s="196" t="s">
        <v>364</v>
      </c>
      <c r="H32" s="196" t="s">
        <v>4</v>
      </c>
      <c r="I32" s="196" t="s">
        <v>133</v>
      </c>
      <c r="J32" s="196" t="s">
        <v>364</v>
      </c>
      <c r="K32" s="196" t="s">
        <v>165</v>
      </c>
      <c r="L32" s="196" t="s">
        <v>133</v>
      </c>
      <c r="M32" s="196" t="s">
        <v>364</v>
      </c>
      <c r="N32" s="196" t="s">
        <v>166</v>
      </c>
      <c r="O32" s="197"/>
      <c r="P32" s="10"/>
      <c r="Q32" s="121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96" t="s">
        <v>598</v>
      </c>
      <c r="B33" s="196" t="s">
        <v>599</v>
      </c>
      <c r="C33" s="196" t="s">
        <v>554</v>
      </c>
      <c r="D33" s="196" t="s">
        <v>600</v>
      </c>
      <c r="E33" s="196" t="s">
        <v>556</v>
      </c>
      <c r="F33" s="196" t="s">
        <v>133</v>
      </c>
      <c r="G33" s="196" t="s">
        <v>364</v>
      </c>
      <c r="H33" s="196" t="s">
        <v>4</v>
      </c>
      <c r="I33" s="196" t="s">
        <v>133</v>
      </c>
      <c r="J33" s="196" t="s">
        <v>364</v>
      </c>
      <c r="K33" s="196" t="s">
        <v>165</v>
      </c>
      <c r="L33" s="196" t="s">
        <v>133</v>
      </c>
      <c r="M33" s="196" t="s">
        <v>364</v>
      </c>
      <c r="N33" s="196" t="s">
        <v>166</v>
      </c>
      <c r="O33" s="197"/>
      <c r="P33" s="10"/>
      <c r="Q33" s="121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96" t="s">
        <v>601</v>
      </c>
      <c r="B34" s="196" t="s">
        <v>602</v>
      </c>
      <c r="C34" s="196" t="s">
        <v>603</v>
      </c>
      <c r="D34" s="196" t="s">
        <v>604</v>
      </c>
      <c r="E34" s="196" t="s">
        <v>605</v>
      </c>
      <c r="F34" s="196" t="s">
        <v>133</v>
      </c>
      <c r="G34" s="196" t="s">
        <v>364</v>
      </c>
      <c r="H34" s="196" t="s">
        <v>4</v>
      </c>
      <c r="I34" s="196" t="s">
        <v>133</v>
      </c>
      <c r="J34" s="196" t="s">
        <v>364</v>
      </c>
      <c r="K34" s="196" t="s">
        <v>165</v>
      </c>
      <c r="L34" s="196" t="s">
        <v>133</v>
      </c>
      <c r="M34" s="196" t="s">
        <v>364</v>
      </c>
      <c r="N34" s="196" t="s">
        <v>166</v>
      </c>
      <c r="O34" s="197"/>
      <c r="P34" s="10"/>
      <c r="Q34" s="121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5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1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5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1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5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1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5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1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5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1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5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1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5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5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5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5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5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5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5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5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5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5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5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5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5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5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5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5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5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5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5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5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5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5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5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5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5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5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5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5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5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5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5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5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5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5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5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5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5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5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5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5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5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5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5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5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5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5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5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5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5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5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5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5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5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5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5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5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5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5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5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5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5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5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5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5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5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5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5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5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5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5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5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5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5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5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5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5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5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5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5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5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5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5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5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5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5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5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5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5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5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5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5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5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5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5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5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5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5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5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5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5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5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5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5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5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5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5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5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5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5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5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5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5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5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5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5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5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5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5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5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5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5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5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5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5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5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5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5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5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5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5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5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5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5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5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5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5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5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5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5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5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5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5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5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5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5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5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5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5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5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5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5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5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5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5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5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5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5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5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5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5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5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5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5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5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5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5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5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5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5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5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5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5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5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5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5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5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5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5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5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5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5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5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5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5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5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5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5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5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5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5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5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5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5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5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5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5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5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5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5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5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5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5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5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5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5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5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5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5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5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5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5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5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5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5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5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5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1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5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1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5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1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5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1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5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1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5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1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5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1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5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1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5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1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5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1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5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1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5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1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5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1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5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1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5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1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5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1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5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1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5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1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5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1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5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1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5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1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5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1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5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1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5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1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5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1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5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1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5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1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5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1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5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1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5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1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5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1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5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1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5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1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5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1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5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1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5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1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5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1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5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1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5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1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5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1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5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1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5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1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5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1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5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1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5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1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5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1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5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1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5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1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5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1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5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1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5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1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5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1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5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1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5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1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5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1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5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1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5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1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5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1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5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1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5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1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5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1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5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1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5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1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5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1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5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1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5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1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5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1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5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1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5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1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5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1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5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1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5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1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5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1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5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1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5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1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5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1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5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1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5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1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5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1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5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1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5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1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5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1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5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1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5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1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5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1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5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1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5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1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5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1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5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1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5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1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5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1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5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1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5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1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5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1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5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1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5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1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5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1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5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1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5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1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5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1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5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1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5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1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5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1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5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1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5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1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5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1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5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1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5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1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5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1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5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1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5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1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5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1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5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1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5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1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5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1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5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1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5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1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5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1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5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1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5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1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5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1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5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1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5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1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5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1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5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1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5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1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5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1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5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1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5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1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5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1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5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1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5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1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5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1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5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1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5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1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5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1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5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1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5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1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5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1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5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1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5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1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5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1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5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1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5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1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5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1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5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1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5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1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5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1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5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1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5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1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5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1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5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1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5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1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5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1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5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1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5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1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5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1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5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1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5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1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5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1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5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1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5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1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5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1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5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1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5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1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5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1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5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1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5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1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5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1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5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1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5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1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5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1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5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1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5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1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5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1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5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1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5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1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5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1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5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1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5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1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5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1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5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1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5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1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5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1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5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1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5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1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5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1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5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1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5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1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5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1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5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1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5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1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5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1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5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1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5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1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5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1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5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1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5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1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5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1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5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1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5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1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5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1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5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1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5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1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5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1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5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1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5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1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5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1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5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1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5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1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5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1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5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1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5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1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5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1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5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1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5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1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5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1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5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1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5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1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5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1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5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1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5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1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5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1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5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1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5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1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5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1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5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1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5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1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5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1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5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1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5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1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5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1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5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1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5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1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5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1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5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1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5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1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5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1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5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1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5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1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5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1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5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1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5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1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5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1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5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1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5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1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5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1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5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1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5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1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5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1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5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1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5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1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5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1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5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1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5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1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5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1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5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1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5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1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5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1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5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1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5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1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5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1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5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1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5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1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5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1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5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1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5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1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5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1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5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1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5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1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5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1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5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1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5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1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5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1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5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1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5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1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5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1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5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1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5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1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5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1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5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1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5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1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5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1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5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1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5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1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5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1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5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1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5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1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5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1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5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1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5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1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5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1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5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1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5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1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5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1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5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1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5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1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5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1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5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1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5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1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5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1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5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1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5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1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5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1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5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1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5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1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5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1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5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1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5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1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5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1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5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1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5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1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5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1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5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1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5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1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5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1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5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1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5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1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5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1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5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1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5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1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5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1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5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1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5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1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5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1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5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1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5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1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5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1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5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1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5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1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5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1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5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1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5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1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5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1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5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1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5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1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5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1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5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1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5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1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5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1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5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1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5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1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5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1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5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1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5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1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5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1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5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1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5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1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5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1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5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1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5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1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5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1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5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1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5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1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5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1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5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1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5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1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5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1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5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1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5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1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5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1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5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1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5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1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5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1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5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1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5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1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5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1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5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1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5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1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5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1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5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1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5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1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5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1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5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1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5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1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5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1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5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1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5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1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5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1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5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1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5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1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5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1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5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1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5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1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5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1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5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1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5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1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5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1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5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1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5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1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5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1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5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1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5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1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5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1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5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1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5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1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5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1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5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1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5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1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5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1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5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1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5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1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5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1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5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1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5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1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5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1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5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1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5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1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5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1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5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1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5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1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5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1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5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1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5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1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5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1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5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1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5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1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5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1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5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1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5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1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5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1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5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1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5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1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5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1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5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1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5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1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5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1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5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1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5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1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5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1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5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1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5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1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5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1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5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1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5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1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5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1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5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1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5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1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5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1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5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1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5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1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5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1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5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1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5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1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5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1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5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1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5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1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5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1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5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1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5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1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5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1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5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1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5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1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5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1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5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1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5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1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5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1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5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1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5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1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5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1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5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1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5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1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5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1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5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1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5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1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5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1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5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1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5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1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5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1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5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1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5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1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5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1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5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1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5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1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5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1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5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1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5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1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5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1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5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1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5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1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5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1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5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1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5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1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5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1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5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1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5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1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5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1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5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1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5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1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5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1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5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1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5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1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5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1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5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1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5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1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5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1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5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1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5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1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5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1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5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1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5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1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5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1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5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1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5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1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5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1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5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1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5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1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5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1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5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1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5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1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5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1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5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1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5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1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5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1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5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1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5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1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5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1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5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1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5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1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5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1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5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1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5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1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5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1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5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1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5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1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5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1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5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1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5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1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5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1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5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1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5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1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5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1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5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1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5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1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5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1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5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1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5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1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5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1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5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1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5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1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5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1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5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1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5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1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5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1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5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1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5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1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5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1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5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1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5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1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5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1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5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1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5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1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5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1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5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1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5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1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5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1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5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1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5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1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5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1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5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1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5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1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5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1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5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1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5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1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5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1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5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1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5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1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5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1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5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1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5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1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5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1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5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1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5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1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5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1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5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1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5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1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5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1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5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1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5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1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5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1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5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1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5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1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5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1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5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1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5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1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5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1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5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1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5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1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5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1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5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1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5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1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5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1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5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1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5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1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5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1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5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1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5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1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5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1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5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1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5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1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5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1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5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1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5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1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5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1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5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1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5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1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5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1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5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1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5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1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5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1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5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1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5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1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5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1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5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1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5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1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5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1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5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1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5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1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5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1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5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1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5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1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5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1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5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1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5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1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5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1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5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1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5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1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5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1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5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1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5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1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5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1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5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1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5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1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5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1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5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1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5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1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5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1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5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1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5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1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5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1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5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1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5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1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5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1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5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1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5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1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5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1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5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1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5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1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5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1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5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1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5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1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5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1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5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1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5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1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5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1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5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1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5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1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5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1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5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1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5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1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5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1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5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1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5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1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5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1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5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1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5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1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5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1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5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1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5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1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5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1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5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1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5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1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5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1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5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1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5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1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5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1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5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1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5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1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5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1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5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1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5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1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5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1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5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1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5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1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5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1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5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1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5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1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5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1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5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1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5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1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5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1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5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1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5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1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5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1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5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1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5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1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5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1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5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1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5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1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5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1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5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1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5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1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5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1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5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1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5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1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5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1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5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1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5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1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5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1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5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1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5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1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5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1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5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1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5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1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5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1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5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1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5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1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5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1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5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1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5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1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5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1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5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1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5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1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5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1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5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1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5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1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5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1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5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1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5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1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5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1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5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1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5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1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5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1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5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1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5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1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5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1"/>
      <c r="R991" s="10"/>
      <c r="S991" s="10"/>
      <c r="T991" s="10"/>
      <c r="U991" s="10"/>
      <c r="V991" s="10"/>
      <c r="W991" s="10"/>
      <c r="X991" s="10"/>
      <c r="Y991" s="10"/>
      <c r="Z991" s="1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34 I12:I34 L12:L34 G35:G136 J35:J136 M35:M136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1.0" outlineLevel="1"/>
    <col customWidth="1" min="8" max="8" width="10.5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2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22" t="s">
        <v>145</v>
      </c>
      <c r="B2" s="123" t="s">
        <v>606</v>
      </c>
      <c r="C2" s="124"/>
      <c r="D2" s="124"/>
      <c r="E2" s="125"/>
      <c r="F2" s="126"/>
      <c r="G2" s="127"/>
      <c r="H2" s="50"/>
      <c r="I2" s="126"/>
      <c r="J2" s="127"/>
      <c r="K2" s="50"/>
      <c r="L2" s="126"/>
      <c r="M2" s="127"/>
      <c r="N2" s="50"/>
      <c r="O2" s="50"/>
      <c r="P2" s="50"/>
      <c r="Q2" s="128"/>
      <c r="R2" s="129" t="s">
        <v>133</v>
      </c>
      <c r="S2" s="129"/>
      <c r="T2" s="129"/>
      <c r="U2" s="129"/>
      <c r="V2" s="129"/>
      <c r="W2" s="129"/>
      <c r="X2" s="129"/>
      <c r="Y2" s="129"/>
      <c r="Z2" s="129"/>
    </row>
    <row r="3" ht="12.75" customHeight="1">
      <c r="A3" s="130" t="s">
        <v>146</v>
      </c>
      <c r="B3" s="131" t="s">
        <v>607</v>
      </c>
      <c r="C3" s="5"/>
      <c r="D3" s="5"/>
      <c r="E3" s="132"/>
      <c r="F3" s="126"/>
      <c r="G3" s="127"/>
      <c r="H3" s="50"/>
      <c r="I3" s="126"/>
      <c r="J3" s="127"/>
      <c r="K3" s="50"/>
      <c r="L3" s="126"/>
      <c r="M3" s="127"/>
      <c r="N3" s="50"/>
      <c r="O3" s="50"/>
      <c r="P3" s="50"/>
      <c r="Q3" s="128"/>
      <c r="R3" s="129" t="s">
        <v>134</v>
      </c>
      <c r="S3" s="129"/>
      <c r="T3" s="129"/>
      <c r="U3" s="129"/>
      <c r="V3" s="129"/>
      <c r="W3" s="129"/>
      <c r="X3" s="129"/>
      <c r="Y3" s="129"/>
      <c r="Z3" s="129"/>
    </row>
    <row r="4" ht="18.0" customHeight="1">
      <c r="A4" s="130" t="s">
        <v>147</v>
      </c>
      <c r="B4" s="133">
        <f>COUNTIF(A11:A313, "MB*")</f>
        <v>20</v>
      </c>
      <c r="C4" s="5"/>
      <c r="D4" s="5"/>
      <c r="E4" s="132"/>
      <c r="F4" s="126"/>
      <c r="G4" s="127"/>
      <c r="H4" s="50"/>
      <c r="I4" s="126"/>
      <c r="J4" s="127"/>
      <c r="K4" s="50"/>
      <c r="L4" s="126"/>
      <c r="M4" s="127"/>
      <c r="N4" s="50"/>
      <c r="O4" s="50"/>
      <c r="P4" s="50"/>
      <c r="Q4" s="128"/>
      <c r="R4" s="129" t="s">
        <v>135</v>
      </c>
      <c r="S4" s="129"/>
      <c r="T4" s="129"/>
      <c r="U4" s="129"/>
      <c r="V4" s="129"/>
      <c r="W4" s="129"/>
      <c r="X4" s="129"/>
      <c r="Y4" s="129"/>
      <c r="Z4" s="129"/>
    </row>
    <row r="5" ht="19.5" customHeight="1">
      <c r="A5" s="134" t="s">
        <v>148</v>
      </c>
      <c r="B5" s="135" t="s">
        <v>133</v>
      </c>
      <c r="C5" s="135" t="s">
        <v>134</v>
      </c>
      <c r="D5" s="135" t="s">
        <v>135</v>
      </c>
      <c r="E5" s="136" t="s">
        <v>136</v>
      </c>
      <c r="F5" s="137"/>
      <c r="G5" s="137"/>
      <c r="H5" s="138"/>
      <c r="I5" s="137"/>
      <c r="J5" s="137"/>
      <c r="K5" s="138"/>
      <c r="L5" s="137"/>
      <c r="M5" s="137"/>
      <c r="N5" s="138"/>
      <c r="O5" s="138"/>
      <c r="P5" s="138"/>
      <c r="Q5" s="139"/>
      <c r="R5" s="129" t="s">
        <v>136</v>
      </c>
      <c r="S5" s="129"/>
      <c r="T5" s="129"/>
      <c r="U5" s="129"/>
      <c r="V5" s="129"/>
      <c r="W5" s="129"/>
      <c r="X5" s="129"/>
      <c r="Y5" s="129"/>
      <c r="Z5" s="129"/>
    </row>
    <row r="6" ht="15.0" customHeight="1">
      <c r="A6" s="134" t="s">
        <v>149</v>
      </c>
      <c r="B6" s="140">
        <f t="shared" ref="B6:E6" si="1">COUNTIF($F10:$F989,B5)</f>
        <v>20</v>
      </c>
      <c r="C6" s="140">
        <f t="shared" si="1"/>
        <v>0</v>
      </c>
      <c r="D6" s="140">
        <f t="shared" si="1"/>
        <v>0</v>
      </c>
      <c r="E6" s="141">
        <f t="shared" si="1"/>
        <v>0</v>
      </c>
      <c r="F6" s="142"/>
      <c r="G6" s="142"/>
      <c r="H6" s="138"/>
      <c r="I6" s="142"/>
      <c r="J6" s="142"/>
      <c r="K6" s="138"/>
      <c r="L6" s="142"/>
      <c r="M6" s="142"/>
      <c r="N6" s="138"/>
      <c r="O6" s="138"/>
      <c r="P6" s="138"/>
      <c r="Q6" s="139"/>
      <c r="R6" s="129"/>
      <c r="S6" s="129"/>
      <c r="T6" s="129"/>
      <c r="U6" s="129"/>
      <c r="V6" s="129"/>
      <c r="W6" s="129"/>
      <c r="X6" s="129"/>
      <c r="Y6" s="129"/>
      <c r="Z6" s="129"/>
    </row>
    <row r="7" ht="15.0" customHeight="1">
      <c r="A7" s="134" t="s">
        <v>150</v>
      </c>
      <c r="B7" s="140">
        <f t="shared" ref="B7:E7" si="2">COUNTIF($F10:$F989,B5)</f>
        <v>20</v>
      </c>
      <c r="C7" s="140">
        <f t="shared" si="2"/>
        <v>0</v>
      </c>
      <c r="D7" s="140">
        <f t="shared" si="2"/>
        <v>0</v>
      </c>
      <c r="E7" s="141">
        <f t="shared" si="2"/>
        <v>0</v>
      </c>
      <c r="F7" s="142"/>
      <c r="G7" s="142"/>
      <c r="H7" s="138"/>
      <c r="I7" s="142"/>
      <c r="J7" s="142"/>
      <c r="K7" s="138"/>
      <c r="L7" s="142"/>
      <c r="M7" s="142"/>
      <c r="N7" s="138"/>
      <c r="O7" s="138"/>
      <c r="P7" s="138"/>
      <c r="Q7" s="139"/>
      <c r="R7" s="129"/>
      <c r="S7" s="129"/>
      <c r="T7" s="129"/>
      <c r="U7" s="129"/>
      <c r="V7" s="129"/>
      <c r="W7" s="129"/>
      <c r="X7" s="129"/>
      <c r="Y7" s="129"/>
      <c r="Z7" s="129"/>
    </row>
    <row r="8" ht="15.0" customHeight="1">
      <c r="A8" s="143" t="s">
        <v>151</v>
      </c>
      <c r="B8" s="144">
        <f t="shared" ref="B8:E8" si="3">COUNTIF($F10:$F989,B5)</f>
        <v>20</v>
      </c>
      <c r="C8" s="144">
        <f t="shared" si="3"/>
        <v>0</v>
      </c>
      <c r="D8" s="144">
        <f t="shared" si="3"/>
        <v>0</v>
      </c>
      <c r="E8" s="145">
        <f t="shared" si="3"/>
        <v>0</v>
      </c>
      <c r="F8" s="142"/>
      <c r="G8" s="142"/>
      <c r="H8" s="138"/>
      <c r="I8" s="142"/>
      <c r="J8" s="142"/>
      <c r="K8" s="138"/>
      <c r="L8" s="142"/>
      <c r="M8" s="142"/>
      <c r="N8" s="138"/>
      <c r="O8" s="138"/>
      <c r="P8" s="138"/>
      <c r="Q8" s="139"/>
      <c r="R8" s="129"/>
      <c r="S8" s="129"/>
      <c r="T8" s="129"/>
      <c r="U8" s="129"/>
      <c r="V8" s="129"/>
      <c r="W8" s="129"/>
      <c r="X8" s="129"/>
      <c r="Y8" s="129"/>
      <c r="Z8" s="129"/>
    </row>
    <row r="9" ht="15.0" customHeight="1">
      <c r="A9" s="138"/>
      <c r="B9" s="138"/>
      <c r="C9" s="138"/>
      <c r="D9" s="138"/>
      <c r="E9" s="138"/>
      <c r="F9" s="120"/>
      <c r="G9" s="138"/>
      <c r="H9" s="138"/>
      <c r="I9" s="120"/>
      <c r="J9" s="138"/>
      <c r="K9" s="138"/>
      <c r="L9" s="120"/>
      <c r="M9" s="138"/>
      <c r="N9" s="138"/>
      <c r="O9" s="138"/>
      <c r="P9" s="138"/>
      <c r="Q9" s="139"/>
      <c r="R9" s="129"/>
      <c r="S9" s="129"/>
      <c r="T9" s="129"/>
      <c r="U9" s="129"/>
      <c r="V9" s="129"/>
      <c r="W9" s="129"/>
      <c r="X9" s="129"/>
      <c r="Y9" s="129"/>
      <c r="Z9" s="129"/>
    </row>
    <row r="10" ht="25.5" customHeight="1">
      <c r="A10" s="146" t="s">
        <v>152</v>
      </c>
      <c r="B10" s="146" t="s">
        <v>153</v>
      </c>
      <c r="C10" s="146" t="s">
        <v>154</v>
      </c>
      <c r="D10" s="146" t="s">
        <v>155</v>
      </c>
      <c r="E10" s="146" t="s">
        <v>156</v>
      </c>
      <c r="F10" s="146" t="s">
        <v>149</v>
      </c>
      <c r="G10" s="146" t="s">
        <v>157</v>
      </c>
      <c r="H10" s="146" t="s">
        <v>158</v>
      </c>
      <c r="I10" s="146" t="s">
        <v>150</v>
      </c>
      <c r="J10" s="146" t="s">
        <v>157</v>
      </c>
      <c r="K10" s="146" t="s">
        <v>158</v>
      </c>
      <c r="L10" s="146" t="s">
        <v>151</v>
      </c>
      <c r="M10" s="146" t="s">
        <v>157</v>
      </c>
      <c r="N10" s="146" t="s">
        <v>158</v>
      </c>
      <c r="O10" s="146" t="s">
        <v>159</v>
      </c>
      <c r="P10" s="129"/>
      <c r="Q10" s="147"/>
      <c r="R10" s="129"/>
      <c r="S10" s="129"/>
      <c r="T10" s="129"/>
      <c r="U10" s="129"/>
      <c r="V10" s="129"/>
      <c r="W10" s="129"/>
      <c r="X10" s="129"/>
      <c r="Y10" s="129"/>
      <c r="Z10" s="129"/>
    </row>
    <row r="11">
      <c r="A11" s="211" t="s">
        <v>608</v>
      </c>
      <c r="B11" s="212"/>
      <c r="C11" s="216"/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10"/>
      <c r="Q11" s="121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96" t="s">
        <v>609</v>
      </c>
      <c r="B12" s="196" t="s">
        <v>610</v>
      </c>
      <c r="C12" s="217" t="s">
        <v>611</v>
      </c>
      <c r="D12" s="196" t="s">
        <v>612</v>
      </c>
      <c r="E12" s="196" t="s">
        <v>508</v>
      </c>
      <c r="F12" s="196" t="s">
        <v>133</v>
      </c>
      <c r="G12" s="196" t="s">
        <v>364</v>
      </c>
      <c r="H12" s="196" t="s">
        <v>4</v>
      </c>
      <c r="I12" s="196" t="s">
        <v>133</v>
      </c>
      <c r="J12" s="196" t="s">
        <v>364</v>
      </c>
      <c r="K12" s="196" t="s">
        <v>165</v>
      </c>
      <c r="L12" s="196" t="s">
        <v>133</v>
      </c>
      <c r="M12" s="196" t="s">
        <v>364</v>
      </c>
      <c r="N12" s="196" t="s">
        <v>166</v>
      </c>
      <c r="O12" s="197"/>
      <c r="P12" s="10"/>
      <c r="Q12" s="121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96" t="s">
        <v>613</v>
      </c>
      <c r="B13" s="196" t="s">
        <v>614</v>
      </c>
      <c r="C13" s="217" t="s">
        <v>615</v>
      </c>
      <c r="D13" s="196" t="s">
        <v>616</v>
      </c>
      <c r="E13" s="196" t="s">
        <v>617</v>
      </c>
      <c r="F13" s="196" t="s">
        <v>133</v>
      </c>
      <c r="G13" s="196" t="s">
        <v>364</v>
      </c>
      <c r="H13" s="196" t="s">
        <v>4</v>
      </c>
      <c r="I13" s="196" t="s">
        <v>133</v>
      </c>
      <c r="J13" s="196" t="s">
        <v>364</v>
      </c>
      <c r="K13" s="196" t="s">
        <v>165</v>
      </c>
      <c r="L13" s="196" t="s">
        <v>133</v>
      </c>
      <c r="M13" s="196" t="s">
        <v>364</v>
      </c>
      <c r="N13" s="196" t="s">
        <v>166</v>
      </c>
      <c r="O13" s="197"/>
      <c r="P13" s="10"/>
      <c r="Q13" s="121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96" t="s">
        <v>618</v>
      </c>
      <c r="B14" s="196" t="s">
        <v>619</v>
      </c>
      <c r="C14" s="217" t="s">
        <v>620</v>
      </c>
      <c r="D14" s="196" t="s">
        <v>621</v>
      </c>
      <c r="E14" s="196" t="s">
        <v>543</v>
      </c>
      <c r="F14" s="196" t="s">
        <v>133</v>
      </c>
      <c r="G14" s="196" t="s">
        <v>364</v>
      </c>
      <c r="H14" s="196" t="s">
        <v>4</v>
      </c>
      <c r="I14" s="196" t="s">
        <v>133</v>
      </c>
      <c r="J14" s="196" t="s">
        <v>364</v>
      </c>
      <c r="K14" s="196" t="s">
        <v>165</v>
      </c>
      <c r="L14" s="196" t="s">
        <v>133</v>
      </c>
      <c r="M14" s="196" t="s">
        <v>364</v>
      </c>
      <c r="N14" s="196" t="s">
        <v>166</v>
      </c>
      <c r="O14" s="197"/>
      <c r="P14" s="10"/>
      <c r="Q14" s="121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96" t="s">
        <v>622</v>
      </c>
      <c r="B15" s="196" t="s">
        <v>623</v>
      </c>
      <c r="C15" s="217" t="s">
        <v>624</v>
      </c>
      <c r="D15" s="196" t="s">
        <v>625</v>
      </c>
      <c r="E15" s="196" t="s">
        <v>626</v>
      </c>
      <c r="F15" s="196" t="s">
        <v>133</v>
      </c>
      <c r="G15" s="196" t="s">
        <v>364</v>
      </c>
      <c r="H15" s="196" t="s">
        <v>4</v>
      </c>
      <c r="I15" s="196" t="s">
        <v>133</v>
      </c>
      <c r="J15" s="196" t="s">
        <v>364</v>
      </c>
      <c r="K15" s="196" t="s">
        <v>165</v>
      </c>
      <c r="L15" s="196" t="s">
        <v>133</v>
      </c>
      <c r="M15" s="196" t="s">
        <v>364</v>
      </c>
      <c r="N15" s="196" t="s">
        <v>166</v>
      </c>
      <c r="O15" s="197"/>
      <c r="P15" s="10"/>
      <c r="Q15" s="121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96" t="s">
        <v>627</v>
      </c>
      <c r="B16" s="196" t="s">
        <v>628</v>
      </c>
      <c r="C16" s="217" t="s">
        <v>629</v>
      </c>
      <c r="D16" s="196" t="s">
        <v>630</v>
      </c>
      <c r="E16" s="196" t="s">
        <v>631</v>
      </c>
      <c r="F16" s="196" t="s">
        <v>133</v>
      </c>
      <c r="G16" s="196" t="s">
        <v>364</v>
      </c>
      <c r="H16" s="196" t="s">
        <v>4</v>
      </c>
      <c r="I16" s="196" t="s">
        <v>133</v>
      </c>
      <c r="J16" s="196" t="s">
        <v>364</v>
      </c>
      <c r="K16" s="196" t="s">
        <v>165</v>
      </c>
      <c r="L16" s="196" t="s">
        <v>133</v>
      </c>
      <c r="M16" s="196" t="s">
        <v>364</v>
      </c>
      <c r="N16" s="196" t="s">
        <v>166</v>
      </c>
      <c r="O16" s="197"/>
      <c r="P16" s="10"/>
      <c r="Q16" s="121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96" t="s">
        <v>632</v>
      </c>
      <c r="B17" s="196" t="s">
        <v>633</v>
      </c>
      <c r="C17" s="217" t="s">
        <v>634</v>
      </c>
      <c r="D17" s="196" t="s">
        <v>635</v>
      </c>
      <c r="E17" s="196" t="s">
        <v>636</v>
      </c>
      <c r="F17" s="196" t="s">
        <v>133</v>
      </c>
      <c r="G17" s="196" t="s">
        <v>364</v>
      </c>
      <c r="H17" s="196" t="s">
        <v>4</v>
      </c>
      <c r="I17" s="196" t="s">
        <v>133</v>
      </c>
      <c r="J17" s="196" t="s">
        <v>364</v>
      </c>
      <c r="K17" s="196" t="s">
        <v>165</v>
      </c>
      <c r="L17" s="196" t="s">
        <v>133</v>
      </c>
      <c r="M17" s="196" t="s">
        <v>364</v>
      </c>
      <c r="N17" s="196" t="s">
        <v>166</v>
      </c>
      <c r="O17" s="197"/>
      <c r="P17" s="10"/>
      <c r="Q17" s="121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96" t="s">
        <v>637</v>
      </c>
      <c r="B18" s="196" t="s">
        <v>638</v>
      </c>
      <c r="C18" s="217" t="s">
        <v>639</v>
      </c>
      <c r="D18" s="196" t="s">
        <v>640</v>
      </c>
      <c r="E18" s="196" t="s">
        <v>641</v>
      </c>
      <c r="F18" s="196" t="s">
        <v>133</v>
      </c>
      <c r="G18" s="196" t="s">
        <v>364</v>
      </c>
      <c r="H18" s="196" t="s">
        <v>4</v>
      </c>
      <c r="I18" s="196" t="s">
        <v>133</v>
      </c>
      <c r="J18" s="196" t="s">
        <v>364</v>
      </c>
      <c r="K18" s="196" t="s">
        <v>165</v>
      </c>
      <c r="L18" s="196" t="s">
        <v>133</v>
      </c>
      <c r="M18" s="196" t="s">
        <v>364</v>
      </c>
      <c r="N18" s="196" t="s">
        <v>166</v>
      </c>
      <c r="O18" s="197"/>
      <c r="P18" s="10"/>
      <c r="Q18" s="121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211" t="s">
        <v>642</v>
      </c>
      <c r="B19" s="212"/>
      <c r="C19" s="216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10"/>
      <c r="Q19" s="121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96" t="s">
        <v>643</v>
      </c>
      <c r="B20" s="196" t="s">
        <v>644</v>
      </c>
      <c r="C20" s="217" t="s">
        <v>645</v>
      </c>
      <c r="D20" s="196" t="s">
        <v>646</v>
      </c>
      <c r="E20" s="196" t="s">
        <v>647</v>
      </c>
      <c r="F20" s="196" t="s">
        <v>133</v>
      </c>
      <c r="G20" s="196" t="s">
        <v>364</v>
      </c>
      <c r="H20" s="196" t="s">
        <v>4</v>
      </c>
      <c r="I20" s="196" t="s">
        <v>133</v>
      </c>
      <c r="J20" s="196" t="s">
        <v>364</v>
      </c>
      <c r="K20" s="196" t="s">
        <v>165</v>
      </c>
      <c r="L20" s="196" t="s">
        <v>133</v>
      </c>
      <c r="M20" s="196" t="s">
        <v>364</v>
      </c>
      <c r="N20" s="196" t="s">
        <v>166</v>
      </c>
      <c r="O20" s="197"/>
      <c r="P20" s="10"/>
      <c r="Q20" s="121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96" t="s">
        <v>648</v>
      </c>
      <c r="B21" s="196" t="s">
        <v>649</v>
      </c>
      <c r="C21" s="217" t="s">
        <v>650</v>
      </c>
      <c r="D21" s="196" t="s">
        <v>651</v>
      </c>
      <c r="E21" s="196" t="s">
        <v>652</v>
      </c>
      <c r="F21" s="196" t="s">
        <v>133</v>
      </c>
      <c r="G21" s="196" t="s">
        <v>364</v>
      </c>
      <c r="H21" s="196" t="s">
        <v>4</v>
      </c>
      <c r="I21" s="196" t="s">
        <v>133</v>
      </c>
      <c r="J21" s="196" t="s">
        <v>364</v>
      </c>
      <c r="K21" s="196" t="s">
        <v>165</v>
      </c>
      <c r="L21" s="196" t="s">
        <v>133</v>
      </c>
      <c r="M21" s="196" t="s">
        <v>364</v>
      </c>
      <c r="N21" s="196" t="s">
        <v>166</v>
      </c>
      <c r="O21" s="197"/>
      <c r="P21" s="10"/>
      <c r="Q21" s="121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96" t="s">
        <v>653</v>
      </c>
      <c r="B22" s="196" t="s">
        <v>654</v>
      </c>
      <c r="C22" s="217" t="s">
        <v>655</v>
      </c>
      <c r="D22" s="196" t="s">
        <v>656</v>
      </c>
      <c r="E22" s="196" t="s">
        <v>657</v>
      </c>
      <c r="F22" s="196" t="s">
        <v>133</v>
      </c>
      <c r="G22" s="196" t="s">
        <v>364</v>
      </c>
      <c r="H22" s="196" t="s">
        <v>4</v>
      </c>
      <c r="I22" s="196" t="s">
        <v>133</v>
      </c>
      <c r="J22" s="196" t="s">
        <v>364</v>
      </c>
      <c r="K22" s="196" t="s">
        <v>165</v>
      </c>
      <c r="L22" s="196" t="s">
        <v>133</v>
      </c>
      <c r="M22" s="196" t="s">
        <v>364</v>
      </c>
      <c r="N22" s="196" t="s">
        <v>166</v>
      </c>
      <c r="O22" s="197"/>
      <c r="P22" s="10"/>
      <c r="Q22" s="121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96" t="s">
        <v>658</v>
      </c>
      <c r="B23" s="196" t="s">
        <v>659</v>
      </c>
      <c r="C23" s="217" t="s">
        <v>660</v>
      </c>
      <c r="D23" s="196" t="s">
        <v>661</v>
      </c>
      <c r="E23" s="196" t="s">
        <v>662</v>
      </c>
      <c r="F23" s="196" t="s">
        <v>133</v>
      </c>
      <c r="G23" s="196" t="s">
        <v>364</v>
      </c>
      <c r="H23" s="196" t="s">
        <v>4</v>
      </c>
      <c r="I23" s="196" t="s">
        <v>133</v>
      </c>
      <c r="J23" s="196" t="s">
        <v>364</v>
      </c>
      <c r="K23" s="196" t="s">
        <v>165</v>
      </c>
      <c r="L23" s="196" t="s">
        <v>133</v>
      </c>
      <c r="M23" s="196" t="s">
        <v>364</v>
      </c>
      <c r="N23" s="196" t="s">
        <v>166</v>
      </c>
      <c r="O23" s="197"/>
      <c r="P23" s="10"/>
      <c r="Q23" s="121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96" t="s">
        <v>663</v>
      </c>
      <c r="B24" s="196" t="s">
        <v>664</v>
      </c>
      <c r="C24" s="217" t="s">
        <v>665</v>
      </c>
      <c r="D24" s="196" t="s">
        <v>666</v>
      </c>
      <c r="E24" s="196" t="s">
        <v>543</v>
      </c>
      <c r="F24" s="196" t="s">
        <v>133</v>
      </c>
      <c r="G24" s="196" t="s">
        <v>364</v>
      </c>
      <c r="H24" s="196" t="s">
        <v>4</v>
      </c>
      <c r="I24" s="196" t="s">
        <v>133</v>
      </c>
      <c r="J24" s="196" t="s">
        <v>364</v>
      </c>
      <c r="K24" s="196" t="s">
        <v>165</v>
      </c>
      <c r="L24" s="196" t="s">
        <v>133</v>
      </c>
      <c r="M24" s="196" t="s">
        <v>364</v>
      </c>
      <c r="N24" s="196" t="s">
        <v>166</v>
      </c>
      <c r="O24" s="197"/>
      <c r="P24" s="10"/>
      <c r="Q24" s="121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211" t="s">
        <v>667</v>
      </c>
      <c r="B25" s="212"/>
      <c r="C25" s="216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10"/>
      <c r="Q25" s="121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96" t="s">
        <v>668</v>
      </c>
      <c r="B26" s="196" t="s">
        <v>669</v>
      </c>
      <c r="C26" s="217" t="s">
        <v>670</v>
      </c>
      <c r="D26" s="196" t="s">
        <v>671</v>
      </c>
      <c r="E26" s="196" t="s">
        <v>672</v>
      </c>
      <c r="F26" s="196" t="s">
        <v>133</v>
      </c>
      <c r="G26" s="196" t="s">
        <v>364</v>
      </c>
      <c r="H26" s="196" t="s">
        <v>4</v>
      </c>
      <c r="I26" s="196" t="s">
        <v>133</v>
      </c>
      <c r="J26" s="196" t="s">
        <v>364</v>
      </c>
      <c r="K26" s="196" t="s">
        <v>165</v>
      </c>
      <c r="L26" s="196" t="s">
        <v>133</v>
      </c>
      <c r="M26" s="196" t="s">
        <v>364</v>
      </c>
      <c r="N26" s="196" t="s">
        <v>166</v>
      </c>
      <c r="O26" s="197"/>
      <c r="P26" s="10"/>
      <c r="Q26" s="121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96" t="s">
        <v>673</v>
      </c>
      <c r="B27" s="196" t="s">
        <v>674</v>
      </c>
      <c r="C27" s="217" t="s">
        <v>675</v>
      </c>
      <c r="D27" s="196" t="s">
        <v>676</v>
      </c>
      <c r="E27" s="196" t="s">
        <v>672</v>
      </c>
      <c r="F27" s="196" t="s">
        <v>133</v>
      </c>
      <c r="G27" s="196" t="s">
        <v>364</v>
      </c>
      <c r="H27" s="196" t="s">
        <v>4</v>
      </c>
      <c r="I27" s="196" t="s">
        <v>133</v>
      </c>
      <c r="J27" s="196" t="s">
        <v>364</v>
      </c>
      <c r="K27" s="196" t="s">
        <v>165</v>
      </c>
      <c r="L27" s="196" t="s">
        <v>133</v>
      </c>
      <c r="M27" s="196" t="s">
        <v>364</v>
      </c>
      <c r="N27" s="196" t="s">
        <v>166</v>
      </c>
      <c r="O27" s="197"/>
      <c r="P27" s="10"/>
      <c r="Q27" s="121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96" t="s">
        <v>677</v>
      </c>
      <c r="B28" s="196" t="s">
        <v>678</v>
      </c>
      <c r="C28" s="217" t="s">
        <v>679</v>
      </c>
      <c r="D28" s="196" t="s">
        <v>676</v>
      </c>
      <c r="E28" s="196" t="s">
        <v>672</v>
      </c>
      <c r="F28" s="196" t="s">
        <v>133</v>
      </c>
      <c r="G28" s="196" t="s">
        <v>364</v>
      </c>
      <c r="H28" s="196" t="s">
        <v>4</v>
      </c>
      <c r="I28" s="196" t="s">
        <v>133</v>
      </c>
      <c r="J28" s="196" t="s">
        <v>364</v>
      </c>
      <c r="K28" s="196" t="s">
        <v>165</v>
      </c>
      <c r="L28" s="196" t="s">
        <v>133</v>
      </c>
      <c r="M28" s="196" t="s">
        <v>364</v>
      </c>
      <c r="N28" s="196" t="s">
        <v>166</v>
      </c>
      <c r="O28" s="197"/>
      <c r="P28" s="10"/>
      <c r="Q28" s="121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96" t="s">
        <v>680</v>
      </c>
      <c r="B29" s="196" t="s">
        <v>681</v>
      </c>
      <c r="C29" s="217" t="s">
        <v>682</v>
      </c>
      <c r="D29" s="196" t="s">
        <v>683</v>
      </c>
      <c r="E29" s="196" t="s">
        <v>684</v>
      </c>
      <c r="F29" s="196" t="s">
        <v>133</v>
      </c>
      <c r="G29" s="196" t="s">
        <v>364</v>
      </c>
      <c r="H29" s="196" t="s">
        <v>4</v>
      </c>
      <c r="I29" s="196" t="s">
        <v>133</v>
      </c>
      <c r="J29" s="196" t="s">
        <v>364</v>
      </c>
      <c r="K29" s="196" t="s">
        <v>165</v>
      </c>
      <c r="L29" s="196" t="s">
        <v>133</v>
      </c>
      <c r="M29" s="196" t="s">
        <v>364</v>
      </c>
      <c r="N29" s="196" t="s">
        <v>166</v>
      </c>
      <c r="O29" s="197"/>
      <c r="P29" s="10"/>
      <c r="Q29" s="121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96" t="s">
        <v>685</v>
      </c>
      <c r="B30" s="196" t="s">
        <v>564</v>
      </c>
      <c r="C30" s="217" t="s">
        <v>686</v>
      </c>
      <c r="D30" s="196" t="s">
        <v>687</v>
      </c>
      <c r="E30" s="196" t="s">
        <v>688</v>
      </c>
      <c r="F30" s="196" t="s">
        <v>133</v>
      </c>
      <c r="G30" s="196" t="s">
        <v>364</v>
      </c>
      <c r="H30" s="196" t="s">
        <v>4</v>
      </c>
      <c r="I30" s="196" t="s">
        <v>133</v>
      </c>
      <c r="J30" s="196" t="s">
        <v>364</v>
      </c>
      <c r="K30" s="196" t="s">
        <v>165</v>
      </c>
      <c r="L30" s="196" t="s">
        <v>133</v>
      </c>
      <c r="M30" s="196" t="s">
        <v>364</v>
      </c>
      <c r="N30" s="196" t="s">
        <v>166</v>
      </c>
      <c r="O30" s="197"/>
      <c r="P30" s="10"/>
      <c r="Q30" s="121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96" t="s">
        <v>689</v>
      </c>
      <c r="B31" s="196" t="s">
        <v>589</v>
      </c>
      <c r="C31" s="217" t="s">
        <v>690</v>
      </c>
      <c r="D31" s="196" t="s">
        <v>691</v>
      </c>
      <c r="E31" s="196" t="s">
        <v>692</v>
      </c>
      <c r="F31" s="196" t="s">
        <v>133</v>
      </c>
      <c r="G31" s="196" t="s">
        <v>364</v>
      </c>
      <c r="H31" s="196" t="s">
        <v>4</v>
      </c>
      <c r="I31" s="196" t="s">
        <v>133</v>
      </c>
      <c r="J31" s="196" t="s">
        <v>364</v>
      </c>
      <c r="K31" s="196" t="s">
        <v>165</v>
      </c>
      <c r="L31" s="196" t="s">
        <v>133</v>
      </c>
      <c r="M31" s="196" t="s">
        <v>364</v>
      </c>
      <c r="N31" s="196" t="s">
        <v>166</v>
      </c>
      <c r="O31" s="197"/>
      <c r="P31" s="10"/>
      <c r="Q31" s="121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96" t="s">
        <v>693</v>
      </c>
      <c r="B32" s="196" t="s">
        <v>594</v>
      </c>
      <c r="C32" s="217" t="s">
        <v>694</v>
      </c>
      <c r="D32" s="196" t="s">
        <v>695</v>
      </c>
      <c r="E32" s="196" t="s">
        <v>597</v>
      </c>
      <c r="F32" s="196" t="s">
        <v>133</v>
      </c>
      <c r="G32" s="196" t="s">
        <v>364</v>
      </c>
      <c r="H32" s="196" t="s">
        <v>4</v>
      </c>
      <c r="I32" s="196" t="s">
        <v>133</v>
      </c>
      <c r="J32" s="196" t="s">
        <v>364</v>
      </c>
      <c r="K32" s="196" t="s">
        <v>165</v>
      </c>
      <c r="L32" s="196" t="s">
        <v>133</v>
      </c>
      <c r="M32" s="196" t="s">
        <v>364</v>
      </c>
      <c r="N32" s="196" t="s">
        <v>166</v>
      </c>
      <c r="O32" s="197"/>
      <c r="P32" s="10"/>
      <c r="Q32" s="121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96" t="s">
        <v>696</v>
      </c>
      <c r="B33" s="196" t="s">
        <v>697</v>
      </c>
      <c r="C33" s="217" t="s">
        <v>698</v>
      </c>
      <c r="D33" s="196" t="s">
        <v>699</v>
      </c>
      <c r="E33" s="196" t="s">
        <v>700</v>
      </c>
      <c r="F33" s="196" t="s">
        <v>133</v>
      </c>
      <c r="G33" s="196" t="s">
        <v>364</v>
      </c>
      <c r="H33" s="196" t="s">
        <v>4</v>
      </c>
      <c r="I33" s="196" t="s">
        <v>133</v>
      </c>
      <c r="J33" s="196" t="s">
        <v>364</v>
      </c>
      <c r="K33" s="196" t="s">
        <v>165</v>
      </c>
      <c r="L33" s="196" t="s">
        <v>133</v>
      </c>
      <c r="M33" s="196" t="s">
        <v>364</v>
      </c>
      <c r="N33" s="196" t="s">
        <v>166</v>
      </c>
      <c r="O33" s="197"/>
      <c r="P33" s="10"/>
      <c r="Q33" s="121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1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1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1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1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1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1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1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1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1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1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1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1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1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1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1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1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1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1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1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1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1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1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1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1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1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1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1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1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1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1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1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1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1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1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1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1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1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1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1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1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1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1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1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1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1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1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1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1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1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1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1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1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1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1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1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1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1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1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1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1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1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1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1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1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1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1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1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1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1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1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1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1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1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1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1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1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1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1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1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1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1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1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1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1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1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1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1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1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1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1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1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1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1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1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1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1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1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1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1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1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1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1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1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1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1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1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1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1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1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1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1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1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1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1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1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1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1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1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1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1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1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1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1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1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1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1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1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1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1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1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1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1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1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1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1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1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1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1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1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1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1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1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1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1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1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1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1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1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1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1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1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1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1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1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1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1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1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1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1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1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1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1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1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1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1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1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1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1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1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1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1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1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1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1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1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1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1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1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1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1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1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1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1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1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1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1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1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1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1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1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1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1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1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1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1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1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1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1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1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1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1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1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1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1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1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1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1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1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1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1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1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1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1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1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1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1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1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1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1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1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1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1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1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1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1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1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1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1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1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1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1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1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1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1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1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1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1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1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1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1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1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1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1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1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1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1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1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1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1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1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1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1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1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1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1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1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1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1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1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1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1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1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1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1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1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1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1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1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1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1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1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1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1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1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1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1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1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1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1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1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1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1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1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1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1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1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1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1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1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1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1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1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1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1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1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1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1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1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1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1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1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1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1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1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1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1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1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1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1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1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1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1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1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1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1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1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1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1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1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1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1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1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1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1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1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1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1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1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1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1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1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1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1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1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1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1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1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1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1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1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1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1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1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1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1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1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1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1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1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1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1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1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1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1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1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1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1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1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1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1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1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1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1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1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1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1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1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1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1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1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1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1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1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1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1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1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1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1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1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1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1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1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1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1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1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1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1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1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1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1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1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1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1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1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1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1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1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1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1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1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1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1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1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1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1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1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1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1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1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1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1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1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1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1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1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1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1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1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1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1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1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1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1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1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1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1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1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1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1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1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1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1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1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1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1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1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1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1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1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1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1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1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1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1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1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1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1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1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1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1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1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1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1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1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1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1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1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1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1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1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1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1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1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1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1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1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1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1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1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1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1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1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1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1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1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1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1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1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1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1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1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1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1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1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1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1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1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1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1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1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1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1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1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1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1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1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1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1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1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1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1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1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1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1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1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1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1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1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1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1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1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1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1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1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1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1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1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1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1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1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1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1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1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1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1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1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1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1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1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1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1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1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1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1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1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1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1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1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1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1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1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1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1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1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1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1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1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1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1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1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1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1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1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1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1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1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1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1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1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1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1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1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1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1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1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1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1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1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1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1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1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1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1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1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1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1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1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1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1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1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1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1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1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1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1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1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1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1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1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1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1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1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1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1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1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1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1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1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1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1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1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1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1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1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1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1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1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1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1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1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1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1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1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1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1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1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1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1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1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1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1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1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1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1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1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1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1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1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1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1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1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1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1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1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1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1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1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1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1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1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1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1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1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1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1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1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1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1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1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1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1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1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1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1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1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1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1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1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1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1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1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1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1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1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1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1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1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1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1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1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1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1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1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1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1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1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1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1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1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1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1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1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1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1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1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1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1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1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1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1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1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1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1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1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1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1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1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1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1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1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1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1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1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1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1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1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1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1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1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1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1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1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1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1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1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1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1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1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1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1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1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1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1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1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1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1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1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1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1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1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1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1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1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1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1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1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1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1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1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1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1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1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1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21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21"/>
      <c r="R993" s="10"/>
      <c r="S993" s="10"/>
      <c r="T993" s="10"/>
      <c r="U993" s="10"/>
      <c r="V993" s="10"/>
      <c r="W993" s="10"/>
      <c r="X993" s="10"/>
      <c r="Y993" s="10"/>
      <c r="Z993" s="1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1:F24 I11:I24 L11:L24 G25 J25 M25 F26:F33 I26:I33 L26:L33 G34:G138 J34:J138 M34:M138">
      <formula1>$R$2:$R$5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2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22" t="s">
        <v>145</v>
      </c>
      <c r="B2" s="123" t="s">
        <v>701</v>
      </c>
      <c r="C2" s="124"/>
      <c r="D2" s="124"/>
      <c r="E2" s="125"/>
      <c r="F2" s="126"/>
      <c r="G2" s="127"/>
      <c r="H2" s="50"/>
      <c r="I2" s="126"/>
      <c r="J2" s="127"/>
      <c r="K2" s="50"/>
      <c r="L2" s="126"/>
      <c r="M2" s="127"/>
      <c r="N2" s="50"/>
      <c r="O2" s="50"/>
      <c r="P2" s="50"/>
      <c r="Q2" s="128"/>
      <c r="R2" s="129" t="s">
        <v>133</v>
      </c>
      <c r="S2" s="129"/>
      <c r="T2" s="129"/>
      <c r="U2" s="129"/>
      <c r="V2" s="129"/>
      <c r="W2" s="129"/>
      <c r="X2" s="129"/>
      <c r="Y2" s="129"/>
      <c r="Z2" s="129"/>
    </row>
    <row r="3" ht="12.75" customHeight="1">
      <c r="A3" s="130" t="s">
        <v>146</v>
      </c>
      <c r="B3" s="131" t="s">
        <v>702</v>
      </c>
      <c r="C3" s="5"/>
      <c r="D3" s="5"/>
      <c r="E3" s="132"/>
      <c r="F3" s="126"/>
      <c r="G3" s="127"/>
      <c r="H3" s="50"/>
      <c r="I3" s="126"/>
      <c r="J3" s="127"/>
      <c r="K3" s="50"/>
      <c r="L3" s="126"/>
      <c r="M3" s="127"/>
      <c r="N3" s="50"/>
      <c r="O3" s="50"/>
      <c r="P3" s="50"/>
      <c r="Q3" s="128"/>
      <c r="R3" s="129" t="s">
        <v>134</v>
      </c>
      <c r="S3" s="129"/>
      <c r="T3" s="129"/>
      <c r="U3" s="129"/>
      <c r="V3" s="129"/>
      <c r="W3" s="129"/>
      <c r="X3" s="129"/>
      <c r="Y3" s="129"/>
      <c r="Z3" s="129"/>
    </row>
    <row r="4" ht="18.0" customHeight="1">
      <c r="A4" s="130" t="s">
        <v>147</v>
      </c>
      <c r="B4" s="133">
        <f>COUNTIF(A11:A313, "DT*")</f>
        <v>18</v>
      </c>
      <c r="C4" s="5"/>
      <c r="D4" s="5"/>
      <c r="E4" s="132"/>
      <c r="F4" s="126"/>
      <c r="G4" s="127"/>
      <c r="H4" s="50"/>
      <c r="I4" s="126"/>
      <c r="J4" s="127"/>
      <c r="K4" s="50"/>
      <c r="L4" s="126"/>
      <c r="M4" s="127"/>
      <c r="N4" s="50"/>
      <c r="O4" s="50"/>
      <c r="P4" s="50"/>
      <c r="Q4" s="128"/>
      <c r="R4" s="129" t="s">
        <v>135</v>
      </c>
      <c r="S4" s="129"/>
      <c r="T4" s="129"/>
      <c r="U4" s="129"/>
      <c r="V4" s="129"/>
      <c r="W4" s="129"/>
      <c r="X4" s="129"/>
      <c r="Y4" s="129"/>
      <c r="Z4" s="129"/>
    </row>
    <row r="5" ht="19.5" customHeight="1">
      <c r="A5" s="134" t="s">
        <v>148</v>
      </c>
      <c r="B5" s="135" t="s">
        <v>133</v>
      </c>
      <c r="C5" s="135" t="s">
        <v>134</v>
      </c>
      <c r="D5" s="135" t="s">
        <v>135</v>
      </c>
      <c r="E5" s="136" t="s">
        <v>136</v>
      </c>
      <c r="F5" s="137"/>
      <c r="G5" s="137"/>
      <c r="H5" s="138"/>
      <c r="I5" s="137"/>
      <c r="J5" s="137"/>
      <c r="K5" s="138"/>
      <c r="L5" s="137"/>
      <c r="M5" s="137"/>
      <c r="N5" s="138"/>
      <c r="O5" s="138"/>
      <c r="P5" s="138"/>
      <c r="Q5" s="139"/>
      <c r="R5" s="129" t="s">
        <v>136</v>
      </c>
      <c r="S5" s="129"/>
      <c r="T5" s="129"/>
      <c r="U5" s="129"/>
      <c r="V5" s="129"/>
      <c r="W5" s="129"/>
      <c r="X5" s="129"/>
      <c r="Y5" s="129"/>
      <c r="Z5" s="129"/>
    </row>
    <row r="6" ht="15.0" customHeight="1">
      <c r="A6" s="134" t="s">
        <v>149</v>
      </c>
      <c r="B6" s="140">
        <f t="shared" ref="B6:E6" si="1">COUNTIF($F10:$F989,B5)</f>
        <v>18</v>
      </c>
      <c r="C6" s="140">
        <f t="shared" si="1"/>
        <v>0</v>
      </c>
      <c r="D6" s="140">
        <f t="shared" si="1"/>
        <v>0</v>
      </c>
      <c r="E6" s="141">
        <f t="shared" si="1"/>
        <v>0</v>
      </c>
      <c r="F6" s="142"/>
      <c r="G6" s="142"/>
      <c r="H6" s="138"/>
      <c r="I6" s="142"/>
      <c r="J6" s="142"/>
      <c r="K6" s="138"/>
      <c r="L6" s="142"/>
      <c r="M6" s="142"/>
      <c r="N6" s="138"/>
      <c r="O6" s="138"/>
      <c r="P6" s="138"/>
      <c r="Q6" s="139"/>
      <c r="R6" s="129"/>
      <c r="S6" s="129"/>
      <c r="T6" s="129"/>
      <c r="U6" s="129"/>
      <c r="V6" s="129"/>
      <c r="W6" s="129"/>
      <c r="X6" s="129"/>
      <c r="Y6" s="129"/>
      <c r="Z6" s="129"/>
    </row>
    <row r="7" ht="15.0" customHeight="1">
      <c r="A7" s="134" t="s">
        <v>150</v>
      </c>
      <c r="B7" s="140">
        <f t="shared" ref="B7:E7" si="2">COUNTIF($F10:$F989,B5)</f>
        <v>18</v>
      </c>
      <c r="C7" s="140">
        <f t="shared" si="2"/>
        <v>0</v>
      </c>
      <c r="D7" s="140">
        <f t="shared" si="2"/>
        <v>0</v>
      </c>
      <c r="E7" s="141">
        <f t="shared" si="2"/>
        <v>0</v>
      </c>
      <c r="F7" s="142"/>
      <c r="G7" s="142"/>
      <c r="H7" s="138"/>
      <c r="I7" s="142"/>
      <c r="J7" s="142"/>
      <c r="K7" s="138"/>
      <c r="L7" s="142"/>
      <c r="M7" s="142"/>
      <c r="N7" s="138"/>
      <c r="O7" s="138"/>
      <c r="P7" s="138"/>
      <c r="Q7" s="139"/>
      <c r="R7" s="129"/>
      <c r="S7" s="129"/>
      <c r="T7" s="129"/>
      <c r="U7" s="129"/>
      <c r="V7" s="129"/>
      <c r="W7" s="129"/>
      <c r="X7" s="129"/>
      <c r="Y7" s="129"/>
      <c r="Z7" s="129"/>
    </row>
    <row r="8" ht="15.0" customHeight="1">
      <c r="A8" s="143" t="s">
        <v>151</v>
      </c>
      <c r="B8" s="144">
        <f t="shared" ref="B8:E8" si="3">COUNTIF($F10:$F989,B5)</f>
        <v>18</v>
      </c>
      <c r="C8" s="144">
        <f t="shared" si="3"/>
        <v>0</v>
      </c>
      <c r="D8" s="144">
        <f t="shared" si="3"/>
        <v>0</v>
      </c>
      <c r="E8" s="145">
        <f t="shared" si="3"/>
        <v>0</v>
      </c>
      <c r="F8" s="142"/>
      <c r="G8" s="142"/>
      <c r="H8" s="138"/>
      <c r="I8" s="142"/>
      <c r="J8" s="142"/>
      <c r="K8" s="138"/>
      <c r="L8" s="142"/>
      <c r="M8" s="142"/>
      <c r="N8" s="138"/>
      <c r="O8" s="138"/>
      <c r="P8" s="138"/>
      <c r="Q8" s="139"/>
      <c r="R8" s="129"/>
      <c r="S8" s="129"/>
      <c r="T8" s="129"/>
      <c r="U8" s="129"/>
      <c r="V8" s="129"/>
      <c r="W8" s="129"/>
      <c r="X8" s="129"/>
      <c r="Y8" s="129"/>
      <c r="Z8" s="129"/>
    </row>
    <row r="9" ht="15.0" customHeight="1">
      <c r="A9" s="138"/>
      <c r="B9" s="138"/>
      <c r="C9" s="138"/>
      <c r="D9" s="138"/>
      <c r="E9" s="138"/>
      <c r="F9" s="120"/>
      <c r="G9" s="138"/>
      <c r="H9" s="138"/>
      <c r="I9" s="120"/>
      <c r="J9" s="138"/>
      <c r="K9" s="138"/>
      <c r="L9" s="120"/>
      <c r="M9" s="138"/>
      <c r="N9" s="138"/>
      <c r="O9" s="138"/>
      <c r="P9" s="138"/>
      <c r="Q9" s="139"/>
      <c r="R9" s="129"/>
      <c r="S9" s="129"/>
      <c r="T9" s="129"/>
      <c r="U9" s="129"/>
      <c r="V9" s="129"/>
      <c r="W9" s="129"/>
      <c r="X9" s="129"/>
      <c r="Y9" s="129"/>
      <c r="Z9" s="129"/>
    </row>
    <row r="10" ht="25.5" customHeight="1">
      <c r="A10" s="146" t="s">
        <v>152</v>
      </c>
      <c r="B10" s="146" t="s">
        <v>153</v>
      </c>
      <c r="C10" s="146" t="s">
        <v>154</v>
      </c>
      <c r="D10" s="146" t="s">
        <v>155</v>
      </c>
      <c r="E10" s="146" t="s">
        <v>156</v>
      </c>
      <c r="F10" s="146" t="s">
        <v>149</v>
      </c>
      <c r="G10" s="146" t="s">
        <v>157</v>
      </c>
      <c r="H10" s="146" t="s">
        <v>158</v>
      </c>
      <c r="I10" s="146" t="s">
        <v>150</v>
      </c>
      <c r="J10" s="146" t="s">
        <v>157</v>
      </c>
      <c r="K10" s="146" t="s">
        <v>158</v>
      </c>
      <c r="L10" s="146" t="s">
        <v>151</v>
      </c>
      <c r="M10" s="146" t="s">
        <v>157</v>
      </c>
      <c r="N10" s="146" t="s">
        <v>158</v>
      </c>
      <c r="O10" s="146" t="s">
        <v>159</v>
      </c>
      <c r="P10" s="129"/>
      <c r="Q10" s="147"/>
      <c r="R10" s="129"/>
      <c r="S10" s="129"/>
      <c r="T10" s="129"/>
      <c r="U10" s="129"/>
      <c r="V10" s="129"/>
      <c r="W10" s="129"/>
      <c r="X10" s="129"/>
      <c r="Y10" s="129"/>
      <c r="Z10" s="129"/>
    </row>
    <row r="11" ht="12.75" customHeight="1">
      <c r="A11" s="148" t="s">
        <v>703</v>
      </c>
      <c r="B11" s="148"/>
      <c r="C11" s="218"/>
      <c r="D11" s="161"/>
      <c r="E11" s="161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0"/>
      <c r="Q11" s="121"/>
      <c r="R11" s="10"/>
      <c r="S11" s="10"/>
      <c r="T11" s="10"/>
      <c r="U11" s="10"/>
      <c r="V11" s="10"/>
      <c r="W11" s="10"/>
      <c r="X11" s="10"/>
      <c r="Y11" s="10"/>
      <c r="Z11" s="10"/>
    </row>
    <row r="12" ht="45.0" customHeight="1">
      <c r="A12" s="196" t="s">
        <v>704</v>
      </c>
      <c r="B12" s="196" t="s">
        <v>558</v>
      </c>
      <c r="C12" s="217" t="s">
        <v>705</v>
      </c>
      <c r="D12" s="196" t="s">
        <v>706</v>
      </c>
      <c r="E12" s="196" t="s">
        <v>561</v>
      </c>
      <c r="F12" s="196" t="s">
        <v>133</v>
      </c>
      <c r="G12" s="196" t="s">
        <v>364</v>
      </c>
      <c r="H12" s="196" t="s">
        <v>4</v>
      </c>
      <c r="I12" s="196" t="s">
        <v>133</v>
      </c>
      <c r="J12" s="196" t="s">
        <v>364</v>
      </c>
      <c r="K12" s="196" t="s">
        <v>165</v>
      </c>
      <c r="L12" s="196" t="s">
        <v>133</v>
      </c>
      <c r="M12" s="196" t="s">
        <v>364</v>
      </c>
      <c r="N12" s="196" t="s">
        <v>166</v>
      </c>
      <c r="O12" s="197"/>
      <c r="P12" s="10"/>
      <c r="Q12" s="121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96" t="s">
        <v>707</v>
      </c>
      <c r="B13" s="196" t="s">
        <v>708</v>
      </c>
      <c r="C13" s="217" t="s">
        <v>709</v>
      </c>
      <c r="D13" s="196" t="s">
        <v>542</v>
      </c>
      <c r="E13" s="196" t="s">
        <v>551</v>
      </c>
      <c r="F13" s="196" t="s">
        <v>133</v>
      </c>
      <c r="G13" s="196" t="s">
        <v>364</v>
      </c>
      <c r="H13" s="196" t="s">
        <v>4</v>
      </c>
      <c r="I13" s="196" t="s">
        <v>133</v>
      </c>
      <c r="J13" s="196" t="s">
        <v>364</v>
      </c>
      <c r="K13" s="196" t="s">
        <v>165</v>
      </c>
      <c r="L13" s="196" t="s">
        <v>133</v>
      </c>
      <c r="M13" s="196" t="s">
        <v>364</v>
      </c>
      <c r="N13" s="196" t="s">
        <v>166</v>
      </c>
      <c r="O13" s="197"/>
      <c r="P13" s="10"/>
      <c r="Q13" s="121"/>
      <c r="R13" s="10"/>
      <c r="S13" s="10"/>
      <c r="T13" s="10"/>
      <c r="U13" s="10"/>
      <c r="V13" s="10"/>
      <c r="W13" s="10"/>
      <c r="X13" s="10"/>
      <c r="Y13" s="10"/>
      <c r="Z13" s="10"/>
    </row>
    <row r="14" ht="30.75" customHeight="1">
      <c r="A14" s="196" t="s">
        <v>710</v>
      </c>
      <c r="B14" s="196" t="s">
        <v>711</v>
      </c>
      <c r="C14" s="217" t="s">
        <v>712</v>
      </c>
      <c r="D14" s="196" t="s">
        <v>713</v>
      </c>
      <c r="E14" s="196" t="s">
        <v>714</v>
      </c>
      <c r="F14" s="196" t="s">
        <v>133</v>
      </c>
      <c r="G14" s="196" t="s">
        <v>364</v>
      </c>
      <c r="H14" s="196" t="s">
        <v>4</v>
      </c>
      <c r="I14" s="196" t="s">
        <v>133</v>
      </c>
      <c r="J14" s="196" t="s">
        <v>364</v>
      </c>
      <c r="K14" s="196" t="s">
        <v>165</v>
      </c>
      <c r="L14" s="196" t="s">
        <v>133</v>
      </c>
      <c r="M14" s="196" t="s">
        <v>364</v>
      </c>
      <c r="N14" s="196" t="s">
        <v>166</v>
      </c>
      <c r="O14" s="197"/>
      <c r="P14" s="10"/>
      <c r="Q14" s="121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48" t="s">
        <v>715</v>
      </c>
      <c r="B15" s="148"/>
      <c r="C15" s="218"/>
      <c r="D15" s="161"/>
      <c r="E15" s="161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0"/>
      <c r="Q15" s="121"/>
      <c r="R15" s="10"/>
      <c r="S15" s="10"/>
      <c r="T15" s="10"/>
      <c r="U15" s="10"/>
      <c r="V15" s="10"/>
      <c r="W15" s="10"/>
      <c r="X15" s="10"/>
      <c r="Y15" s="10"/>
      <c r="Z15" s="10"/>
    </row>
    <row r="16" ht="66.75" customHeight="1">
      <c r="A16" s="196" t="s">
        <v>716</v>
      </c>
      <c r="B16" s="196" t="s">
        <v>717</v>
      </c>
      <c r="C16" s="217" t="s">
        <v>718</v>
      </c>
      <c r="D16" s="196" t="s">
        <v>719</v>
      </c>
      <c r="E16" s="196" t="s">
        <v>720</v>
      </c>
      <c r="F16" s="196" t="s">
        <v>133</v>
      </c>
      <c r="G16" s="196" t="s">
        <v>364</v>
      </c>
      <c r="H16" s="196" t="s">
        <v>4</v>
      </c>
      <c r="I16" s="196" t="s">
        <v>133</v>
      </c>
      <c r="J16" s="196" t="s">
        <v>364</v>
      </c>
      <c r="K16" s="196" t="s">
        <v>165</v>
      </c>
      <c r="L16" s="196" t="s">
        <v>133</v>
      </c>
      <c r="M16" s="196" t="s">
        <v>364</v>
      </c>
      <c r="N16" s="196" t="s">
        <v>166</v>
      </c>
      <c r="O16" s="197"/>
      <c r="P16" s="10"/>
      <c r="Q16" s="121"/>
      <c r="R16" s="10"/>
      <c r="S16" s="10"/>
      <c r="T16" s="10"/>
      <c r="U16" s="10"/>
      <c r="V16" s="10"/>
      <c r="W16" s="10"/>
      <c r="X16" s="10"/>
      <c r="Y16" s="10"/>
      <c r="Z16" s="10"/>
    </row>
    <row r="17" ht="53.25" customHeight="1">
      <c r="A17" s="196" t="s">
        <v>721</v>
      </c>
      <c r="B17" s="196" t="s">
        <v>722</v>
      </c>
      <c r="C17" s="217" t="s">
        <v>723</v>
      </c>
      <c r="D17" s="196" t="s">
        <v>724</v>
      </c>
      <c r="E17" s="196" t="s">
        <v>720</v>
      </c>
      <c r="F17" s="196" t="s">
        <v>133</v>
      </c>
      <c r="G17" s="196" t="s">
        <v>364</v>
      </c>
      <c r="H17" s="196" t="s">
        <v>4</v>
      </c>
      <c r="I17" s="196" t="s">
        <v>133</v>
      </c>
      <c r="J17" s="196" t="s">
        <v>364</v>
      </c>
      <c r="K17" s="196" t="s">
        <v>165</v>
      </c>
      <c r="L17" s="196" t="s">
        <v>133</v>
      </c>
      <c r="M17" s="196" t="s">
        <v>364</v>
      </c>
      <c r="N17" s="196" t="s">
        <v>166</v>
      </c>
      <c r="O17" s="197"/>
      <c r="P17" s="10"/>
      <c r="Q17" s="121"/>
      <c r="R17" s="10"/>
      <c r="S17" s="10"/>
      <c r="T17" s="10"/>
      <c r="U17" s="10"/>
      <c r="V17" s="10"/>
      <c r="W17" s="10"/>
      <c r="X17" s="10"/>
      <c r="Y17" s="10"/>
      <c r="Z17" s="10"/>
    </row>
    <row r="18" ht="57.0" customHeight="1">
      <c r="A18" s="196" t="s">
        <v>725</v>
      </c>
      <c r="B18" s="196" t="s">
        <v>726</v>
      </c>
      <c r="C18" s="217" t="s">
        <v>727</v>
      </c>
      <c r="D18" s="196" t="s">
        <v>728</v>
      </c>
      <c r="E18" s="196" t="s">
        <v>729</v>
      </c>
      <c r="F18" s="196" t="s">
        <v>133</v>
      </c>
      <c r="G18" s="196" t="s">
        <v>364</v>
      </c>
      <c r="H18" s="196" t="s">
        <v>4</v>
      </c>
      <c r="I18" s="196" t="s">
        <v>133</v>
      </c>
      <c r="J18" s="196" t="s">
        <v>364</v>
      </c>
      <c r="K18" s="196" t="s">
        <v>165</v>
      </c>
      <c r="L18" s="196" t="s">
        <v>133</v>
      </c>
      <c r="M18" s="196" t="s">
        <v>364</v>
      </c>
      <c r="N18" s="196" t="s">
        <v>166</v>
      </c>
      <c r="O18" s="197"/>
      <c r="P18" s="10"/>
      <c r="Q18" s="121"/>
      <c r="R18" s="10"/>
      <c r="S18" s="10"/>
      <c r="T18" s="10"/>
      <c r="U18" s="10"/>
      <c r="V18" s="10"/>
      <c r="W18" s="10"/>
      <c r="X18" s="10"/>
      <c r="Y18" s="10"/>
      <c r="Z18" s="10"/>
    </row>
    <row r="19" ht="57.0" customHeight="1">
      <c r="A19" s="196" t="s">
        <v>730</v>
      </c>
      <c r="B19" s="196" t="s">
        <v>731</v>
      </c>
      <c r="C19" s="217" t="s">
        <v>732</v>
      </c>
      <c r="D19" s="196" t="s">
        <v>733</v>
      </c>
      <c r="E19" s="196" t="s">
        <v>734</v>
      </c>
      <c r="F19" s="196" t="s">
        <v>133</v>
      </c>
      <c r="G19" s="196" t="s">
        <v>364</v>
      </c>
      <c r="H19" s="196" t="s">
        <v>4</v>
      </c>
      <c r="I19" s="196" t="s">
        <v>133</v>
      </c>
      <c r="J19" s="196" t="s">
        <v>364</v>
      </c>
      <c r="K19" s="196" t="s">
        <v>165</v>
      </c>
      <c r="L19" s="196" t="s">
        <v>133</v>
      </c>
      <c r="M19" s="196" t="s">
        <v>364</v>
      </c>
      <c r="N19" s="196" t="s">
        <v>166</v>
      </c>
      <c r="O19" s="197"/>
      <c r="P19" s="10"/>
      <c r="Q19" s="121"/>
      <c r="R19" s="10"/>
      <c r="S19" s="10"/>
      <c r="T19" s="10"/>
      <c r="U19" s="10"/>
      <c r="V19" s="10"/>
      <c r="W19" s="10"/>
      <c r="X19" s="10"/>
      <c r="Y19" s="10"/>
      <c r="Z19" s="10"/>
    </row>
    <row r="20" ht="43.5" customHeight="1">
      <c r="A20" s="196" t="s">
        <v>735</v>
      </c>
      <c r="B20" s="196" t="s">
        <v>736</v>
      </c>
      <c r="C20" s="217" t="s">
        <v>737</v>
      </c>
      <c r="D20" s="196" t="s">
        <v>738</v>
      </c>
      <c r="E20" s="196" t="s">
        <v>739</v>
      </c>
      <c r="F20" s="196" t="s">
        <v>133</v>
      </c>
      <c r="G20" s="196" t="s">
        <v>364</v>
      </c>
      <c r="H20" s="196" t="s">
        <v>4</v>
      </c>
      <c r="I20" s="196" t="s">
        <v>133</v>
      </c>
      <c r="J20" s="196" t="s">
        <v>364</v>
      </c>
      <c r="K20" s="196" t="s">
        <v>165</v>
      </c>
      <c r="L20" s="196" t="s">
        <v>133</v>
      </c>
      <c r="M20" s="196" t="s">
        <v>364</v>
      </c>
      <c r="N20" s="196" t="s">
        <v>166</v>
      </c>
      <c r="O20" s="197"/>
      <c r="P20" s="10"/>
      <c r="Q20" s="121"/>
      <c r="R20" s="10"/>
      <c r="S20" s="10"/>
      <c r="T20" s="10"/>
      <c r="U20" s="10"/>
      <c r="V20" s="10"/>
      <c r="W20" s="10"/>
      <c r="X20" s="10"/>
      <c r="Y20" s="10"/>
      <c r="Z20" s="10"/>
    </row>
    <row r="21" ht="54.75" customHeight="1">
      <c r="A21" s="196" t="s">
        <v>740</v>
      </c>
      <c r="B21" s="196" t="s">
        <v>741</v>
      </c>
      <c r="C21" s="217" t="s">
        <v>742</v>
      </c>
      <c r="D21" s="196" t="s">
        <v>743</v>
      </c>
      <c r="E21" s="196" t="s">
        <v>744</v>
      </c>
      <c r="F21" s="196" t="s">
        <v>133</v>
      </c>
      <c r="G21" s="196" t="s">
        <v>364</v>
      </c>
      <c r="H21" s="196" t="s">
        <v>4</v>
      </c>
      <c r="I21" s="196" t="s">
        <v>133</v>
      </c>
      <c r="J21" s="196" t="s">
        <v>364</v>
      </c>
      <c r="K21" s="196" t="s">
        <v>165</v>
      </c>
      <c r="L21" s="196" t="s">
        <v>133</v>
      </c>
      <c r="M21" s="196" t="s">
        <v>364</v>
      </c>
      <c r="N21" s="196" t="s">
        <v>166</v>
      </c>
      <c r="O21" s="197"/>
      <c r="P21" s="10"/>
      <c r="Q21" s="121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96" t="s">
        <v>745</v>
      </c>
      <c r="B22" s="196" t="s">
        <v>746</v>
      </c>
      <c r="C22" s="217" t="s">
        <v>747</v>
      </c>
      <c r="D22" s="196" t="s">
        <v>748</v>
      </c>
      <c r="E22" s="196" t="s">
        <v>749</v>
      </c>
      <c r="F22" s="196" t="s">
        <v>133</v>
      </c>
      <c r="G22" s="196" t="s">
        <v>364</v>
      </c>
      <c r="H22" s="196" t="s">
        <v>4</v>
      </c>
      <c r="I22" s="196" t="s">
        <v>133</v>
      </c>
      <c r="J22" s="196" t="s">
        <v>364</v>
      </c>
      <c r="K22" s="196" t="s">
        <v>165</v>
      </c>
      <c r="L22" s="196" t="s">
        <v>133</v>
      </c>
      <c r="M22" s="196" t="s">
        <v>364</v>
      </c>
      <c r="N22" s="196" t="s">
        <v>166</v>
      </c>
      <c r="O22" s="197"/>
      <c r="P22" s="10"/>
      <c r="Q22" s="121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211" t="s">
        <v>750</v>
      </c>
      <c r="B23" s="148"/>
      <c r="C23" s="218"/>
      <c r="D23" s="193"/>
      <c r="E23" s="193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0"/>
      <c r="Q23" s="121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96" t="s">
        <v>751</v>
      </c>
      <c r="B24" s="196" t="s">
        <v>752</v>
      </c>
      <c r="C24" s="217" t="s">
        <v>753</v>
      </c>
      <c r="D24" s="196" t="s">
        <v>754</v>
      </c>
      <c r="E24" s="196" t="s">
        <v>755</v>
      </c>
      <c r="F24" s="196" t="s">
        <v>133</v>
      </c>
      <c r="G24" s="196" t="s">
        <v>364</v>
      </c>
      <c r="H24" s="196" t="s">
        <v>4</v>
      </c>
      <c r="I24" s="196" t="s">
        <v>133</v>
      </c>
      <c r="J24" s="196" t="s">
        <v>364</v>
      </c>
      <c r="K24" s="196" t="s">
        <v>165</v>
      </c>
      <c r="L24" s="196" t="s">
        <v>133</v>
      </c>
      <c r="M24" s="196" t="s">
        <v>364</v>
      </c>
      <c r="N24" s="196" t="s">
        <v>166</v>
      </c>
      <c r="O24" s="197"/>
      <c r="P24" s="10"/>
      <c r="Q24" s="121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96" t="s">
        <v>756</v>
      </c>
      <c r="B25" s="196" t="s">
        <v>757</v>
      </c>
      <c r="C25" s="217" t="s">
        <v>758</v>
      </c>
      <c r="D25" s="196" t="s">
        <v>759</v>
      </c>
      <c r="E25" s="196" t="s">
        <v>760</v>
      </c>
      <c r="F25" s="196" t="s">
        <v>133</v>
      </c>
      <c r="G25" s="196" t="s">
        <v>364</v>
      </c>
      <c r="H25" s="196" t="s">
        <v>4</v>
      </c>
      <c r="I25" s="196" t="s">
        <v>133</v>
      </c>
      <c r="J25" s="196" t="s">
        <v>364</v>
      </c>
      <c r="K25" s="196" t="s">
        <v>165</v>
      </c>
      <c r="L25" s="196" t="s">
        <v>133</v>
      </c>
      <c r="M25" s="196" t="s">
        <v>364</v>
      </c>
      <c r="N25" s="196" t="s">
        <v>166</v>
      </c>
      <c r="O25" s="197"/>
      <c r="P25" s="10"/>
      <c r="Q25" s="121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96" t="s">
        <v>761</v>
      </c>
      <c r="B26" s="196" t="s">
        <v>762</v>
      </c>
      <c r="C26" s="217" t="s">
        <v>763</v>
      </c>
      <c r="D26" s="196" t="s">
        <v>764</v>
      </c>
      <c r="E26" s="196" t="s">
        <v>765</v>
      </c>
      <c r="F26" s="196" t="s">
        <v>133</v>
      </c>
      <c r="G26" s="196" t="s">
        <v>364</v>
      </c>
      <c r="H26" s="196" t="s">
        <v>4</v>
      </c>
      <c r="I26" s="196" t="s">
        <v>133</v>
      </c>
      <c r="J26" s="196" t="s">
        <v>364</v>
      </c>
      <c r="K26" s="196" t="s">
        <v>165</v>
      </c>
      <c r="L26" s="196" t="s">
        <v>133</v>
      </c>
      <c r="M26" s="196" t="s">
        <v>364</v>
      </c>
      <c r="N26" s="196" t="s">
        <v>166</v>
      </c>
      <c r="O26" s="197"/>
      <c r="P26" s="10"/>
      <c r="Q26" s="121"/>
      <c r="R26" s="10"/>
      <c r="S26" s="10"/>
      <c r="T26" s="10"/>
      <c r="U26" s="10"/>
      <c r="V26" s="10"/>
      <c r="W26" s="10"/>
      <c r="X26" s="10"/>
      <c r="Y26" s="10"/>
      <c r="Z26" s="10"/>
    </row>
    <row r="27" ht="42.0" customHeight="1">
      <c r="A27" s="196" t="s">
        <v>766</v>
      </c>
      <c r="B27" s="196" t="s">
        <v>767</v>
      </c>
      <c r="C27" s="217" t="s">
        <v>768</v>
      </c>
      <c r="D27" s="196" t="s">
        <v>769</v>
      </c>
      <c r="E27" s="196" t="s">
        <v>770</v>
      </c>
      <c r="F27" s="196" t="s">
        <v>133</v>
      </c>
      <c r="G27" s="196" t="s">
        <v>364</v>
      </c>
      <c r="H27" s="196" t="s">
        <v>4</v>
      </c>
      <c r="I27" s="196" t="s">
        <v>133</v>
      </c>
      <c r="J27" s="196" t="s">
        <v>364</v>
      </c>
      <c r="K27" s="196" t="s">
        <v>165</v>
      </c>
      <c r="L27" s="196" t="s">
        <v>133</v>
      </c>
      <c r="M27" s="196" t="s">
        <v>364</v>
      </c>
      <c r="N27" s="196" t="s">
        <v>166</v>
      </c>
      <c r="O27" s="197"/>
      <c r="P27" s="10"/>
      <c r="Q27" s="121"/>
      <c r="R27" s="10"/>
      <c r="S27" s="10"/>
      <c r="T27" s="10"/>
      <c r="U27" s="10"/>
      <c r="V27" s="10"/>
      <c r="W27" s="10"/>
      <c r="X27" s="10"/>
      <c r="Y27" s="10"/>
      <c r="Z27" s="10"/>
    </row>
    <row r="28" ht="30.0" customHeight="1">
      <c r="A28" s="196" t="s">
        <v>771</v>
      </c>
      <c r="B28" s="196" t="s">
        <v>772</v>
      </c>
      <c r="C28" s="217" t="s">
        <v>773</v>
      </c>
      <c r="D28" s="196" t="s">
        <v>774</v>
      </c>
      <c r="E28" s="196" t="s">
        <v>775</v>
      </c>
      <c r="F28" s="196" t="s">
        <v>133</v>
      </c>
      <c r="G28" s="196" t="s">
        <v>364</v>
      </c>
      <c r="H28" s="196" t="s">
        <v>4</v>
      </c>
      <c r="I28" s="196" t="s">
        <v>133</v>
      </c>
      <c r="J28" s="196" t="s">
        <v>364</v>
      </c>
      <c r="K28" s="196" t="s">
        <v>165</v>
      </c>
      <c r="L28" s="196" t="s">
        <v>133</v>
      </c>
      <c r="M28" s="196" t="s">
        <v>364</v>
      </c>
      <c r="N28" s="196" t="s">
        <v>166</v>
      </c>
      <c r="O28" s="197"/>
      <c r="P28" s="10"/>
      <c r="Q28" s="121"/>
      <c r="R28" s="10"/>
      <c r="S28" s="10"/>
      <c r="T28" s="10"/>
      <c r="U28" s="10"/>
      <c r="V28" s="10"/>
      <c r="W28" s="10"/>
      <c r="X28" s="10"/>
      <c r="Y28" s="10"/>
      <c r="Z28" s="10"/>
    </row>
    <row r="29" ht="32.25" customHeight="1">
      <c r="A29" s="196" t="s">
        <v>776</v>
      </c>
      <c r="B29" s="196" t="s">
        <v>777</v>
      </c>
      <c r="C29" s="217" t="s">
        <v>778</v>
      </c>
      <c r="D29" s="196" t="s">
        <v>779</v>
      </c>
      <c r="E29" s="196" t="s">
        <v>780</v>
      </c>
      <c r="F29" s="196" t="s">
        <v>133</v>
      </c>
      <c r="G29" s="196" t="s">
        <v>364</v>
      </c>
      <c r="H29" s="196" t="s">
        <v>4</v>
      </c>
      <c r="I29" s="196" t="s">
        <v>133</v>
      </c>
      <c r="J29" s="196" t="s">
        <v>364</v>
      </c>
      <c r="K29" s="196" t="s">
        <v>165</v>
      </c>
      <c r="L29" s="196" t="s">
        <v>133</v>
      </c>
      <c r="M29" s="196" t="s">
        <v>364</v>
      </c>
      <c r="N29" s="196" t="s">
        <v>166</v>
      </c>
      <c r="O29" s="197"/>
      <c r="P29" s="10"/>
      <c r="Q29" s="121"/>
      <c r="R29" s="10"/>
      <c r="S29" s="10"/>
      <c r="T29" s="10"/>
      <c r="U29" s="10"/>
      <c r="V29" s="10"/>
      <c r="W29" s="10"/>
      <c r="X29" s="10"/>
      <c r="Y29" s="10"/>
      <c r="Z29" s="10"/>
    </row>
    <row r="30" ht="30.75" customHeight="1">
      <c r="A30" s="196" t="s">
        <v>781</v>
      </c>
      <c r="B30" s="196" t="s">
        <v>782</v>
      </c>
      <c r="C30" s="217" t="s">
        <v>783</v>
      </c>
      <c r="D30" s="196" t="s">
        <v>784</v>
      </c>
      <c r="E30" s="196" t="s">
        <v>785</v>
      </c>
      <c r="F30" s="196" t="s">
        <v>133</v>
      </c>
      <c r="G30" s="196" t="s">
        <v>364</v>
      </c>
      <c r="H30" s="196" t="s">
        <v>4</v>
      </c>
      <c r="I30" s="196" t="s">
        <v>133</v>
      </c>
      <c r="J30" s="196" t="s">
        <v>364</v>
      </c>
      <c r="K30" s="196" t="s">
        <v>165</v>
      </c>
      <c r="L30" s="196" t="s">
        <v>133</v>
      </c>
      <c r="M30" s="196" t="s">
        <v>364</v>
      </c>
      <c r="N30" s="196" t="s">
        <v>166</v>
      </c>
      <c r="O30" s="197"/>
      <c r="P30" s="10"/>
      <c r="Q30" s="121"/>
      <c r="R30" s="10"/>
      <c r="S30" s="10"/>
      <c r="T30" s="10"/>
      <c r="U30" s="10"/>
      <c r="V30" s="10"/>
      <c r="W30" s="10"/>
      <c r="X30" s="10"/>
      <c r="Y30" s="10"/>
      <c r="Z30" s="10"/>
    </row>
    <row r="31" ht="29.25" customHeight="1">
      <c r="A31" s="196" t="s">
        <v>786</v>
      </c>
      <c r="B31" s="196" t="s">
        <v>787</v>
      </c>
      <c r="C31" s="217" t="s">
        <v>788</v>
      </c>
      <c r="D31" s="196" t="s">
        <v>789</v>
      </c>
      <c r="E31" s="196" t="s">
        <v>790</v>
      </c>
      <c r="F31" s="196" t="s">
        <v>133</v>
      </c>
      <c r="G31" s="196" t="s">
        <v>364</v>
      </c>
      <c r="H31" s="196" t="s">
        <v>4</v>
      </c>
      <c r="I31" s="196" t="s">
        <v>133</v>
      </c>
      <c r="J31" s="196" t="s">
        <v>364</v>
      </c>
      <c r="K31" s="196" t="s">
        <v>165</v>
      </c>
      <c r="L31" s="196" t="s">
        <v>133</v>
      </c>
      <c r="M31" s="196" t="s">
        <v>364</v>
      </c>
      <c r="N31" s="196" t="s">
        <v>166</v>
      </c>
      <c r="O31" s="197"/>
      <c r="P31" s="10"/>
      <c r="Q31" s="121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1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1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1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1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1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1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1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1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1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86"/>
      <c r="B47" s="186"/>
      <c r="C47" s="186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86"/>
      <c r="B48" s="186"/>
      <c r="C48" s="186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86"/>
      <c r="B49" s="186"/>
      <c r="C49" s="186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86"/>
      <c r="B50" s="186"/>
      <c r="C50" s="186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86"/>
      <c r="B51" s="186"/>
      <c r="C51" s="186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86"/>
      <c r="B52" s="186"/>
      <c r="C52" s="186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86"/>
      <c r="B53" s="186"/>
      <c r="C53" s="186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86"/>
      <c r="B54" s="186"/>
      <c r="C54" s="186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86"/>
      <c r="B55" s="186"/>
      <c r="C55" s="186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86"/>
      <c r="B56" s="186"/>
      <c r="C56" s="186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86"/>
      <c r="B57" s="186"/>
      <c r="C57" s="186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1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1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1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1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1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1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1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1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1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1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1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1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1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1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1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1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1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1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1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1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1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1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1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1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1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1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1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1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1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1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1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1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1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1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1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1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1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1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1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1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1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1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1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1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1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1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1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1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1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1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1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1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1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1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1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1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1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1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1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1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1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1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1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1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1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1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1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1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1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1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1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1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1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1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1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1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1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1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1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1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1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1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1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1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1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1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1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1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1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1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1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1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1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1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1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1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1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1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1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1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1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1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1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1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1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1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1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1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1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1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1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1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1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1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1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1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1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1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1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1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1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1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1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1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1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1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1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1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1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1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1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1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1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1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1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1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1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1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1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1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1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1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1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1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1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1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1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1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1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1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1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1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1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1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1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1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1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1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1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1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1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1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1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1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1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1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1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1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1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1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1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1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1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1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1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1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1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1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1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1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1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1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1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1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1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1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1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1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1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1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1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1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1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1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1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1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1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1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1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1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1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1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1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1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1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1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1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1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1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1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1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1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1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1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1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1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1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1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1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1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1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1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1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1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1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1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1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1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1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1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1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1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1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1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1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1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1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1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1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1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1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1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1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1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1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1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1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1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1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1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1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1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1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1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1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1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1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1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1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1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1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1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1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1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1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1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1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1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1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1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1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1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1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1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1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1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1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1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1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1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1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1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1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1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1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1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1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1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1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1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1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1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1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1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1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1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1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1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1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1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1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1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1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1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1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1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1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1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1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1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1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1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1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1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1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1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1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1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1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1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1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1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1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1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1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1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1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1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1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1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1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1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1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1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1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1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1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1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1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1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1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1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1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1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1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1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1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1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1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1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1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1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1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1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1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1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1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1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1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1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1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1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1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1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1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1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1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1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1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1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1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1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1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1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1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1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1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1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1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1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1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1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1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1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1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1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1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1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1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1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1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1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1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1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1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1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1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1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1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1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1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1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1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1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1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1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1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1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1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1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1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1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1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1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1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1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1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1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1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1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1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1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1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1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1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1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1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1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1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1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1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1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1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1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1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1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1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1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1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1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1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1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1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1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1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1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1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1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1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1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1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1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1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1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1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1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1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1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1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1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1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1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1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1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1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1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1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1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1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1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1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1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1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1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1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1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1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1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1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1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1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1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1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1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1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1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1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1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1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1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1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1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1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1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1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1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1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1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1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1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1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1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1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1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1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1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1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1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1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1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1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1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1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1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1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1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1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1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1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1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1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1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1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1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1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1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1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1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1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1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1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1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1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1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1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1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1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1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1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1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1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1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1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1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1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1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1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1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1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1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1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1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1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1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1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1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1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1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1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1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1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1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1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1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1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1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1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1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1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1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1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1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1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1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1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1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1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1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1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1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1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1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1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1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1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1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1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1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1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1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1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1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1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1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1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1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1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1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1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1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1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1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1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1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1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1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1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1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1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1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1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1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1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1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1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1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1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1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1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1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1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1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1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1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1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1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1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1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1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1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1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1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1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1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1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1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1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1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1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1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1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1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1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1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1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1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1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1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1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1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1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1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1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1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1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1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1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1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1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1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1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1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1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1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1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1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1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1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1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1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1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1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1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1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1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1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1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1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1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1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1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1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1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1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1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1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1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1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1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1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1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1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1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1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1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1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1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1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1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1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1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1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1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1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1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1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1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1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1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1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1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1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1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1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1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1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1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1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1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1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1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1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1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1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1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1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1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1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1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1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1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1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1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1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1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1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21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21"/>
      <c r="R993" s="10"/>
      <c r="S993" s="10"/>
      <c r="T993" s="10"/>
      <c r="U993" s="10"/>
      <c r="V993" s="10"/>
      <c r="W993" s="10"/>
      <c r="X993" s="10"/>
      <c r="Y993" s="10"/>
      <c r="Z993" s="1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1:F22 I11:I22 L11:L22 G23 J23 M23 F24:F31 I24:I31 L24:L31 G32:G138 J32:J138 M32:M138">
      <formula1>$R$2:$R$5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2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22" t="s">
        <v>145</v>
      </c>
      <c r="B2" s="123" t="s">
        <v>791</v>
      </c>
      <c r="C2" s="124"/>
      <c r="D2" s="124"/>
      <c r="E2" s="125"/>
      <c r="F2" s="126"/>
      <c r="G2" s="127"/>
      <c r="H2" s="50"/>
      <c r="I2" s="126"/>
      <c r="J2" s="127"/>
      <c r="K2" s="50"/>
      <c r="L2" s="126"/>
      <c r="M2" s="127"/>
      <c r="N2" s="50"/>
      <c r="O2" s="50"/>
      <c r="P2" s="50"/>
      <c r="Q2" s="128"/>
      <c r="R2" s="129" t="s">
        <v>133</v>
      </c>
      <c r="S2" s="129"/>
      <c r="T2" s="129"/>
      <c r="U2" s="129"/>
      <c r="V2" s="129"/>
      <c r="W2" s="129"/>
      <c r="X2" s="129"/>
      <c r="Y2" s="129"/>
      <c r="Z2" s="129"/>
    </row>
    <row r="3" ht="12.75" customHeight="1">
      <c r="A3" s="130" t="s">
        <v>146</v>
      </c>
      <c r="B3" s="131" t="s">
        <v>792</v>
      </c>
      <c r="C3" s="5"/>
      <c r="D3" s="5"/>
      <c r="E3" s="132"/>
      <c r="F3" s="126"/>
      <c r="G3" s="127"/>
      <c r="H3" s="50"/>
      <c r="I3" s="126"/>
      <c r="J3" s="127"/>
      <c r="K3" s="50"/>
      <c r="L3" s="126"/>
      <c r="M3" s="127"/>
      <c r="N3" s="50"/>
      <c r="O3" s="50"/>
      <c r="P3" s="50"/>
      <c r="Q3" s="128"/>
      <c r="R3" s="129" t="s">
        <v>134</v>
      </c>
      <c r="S3" s="129"/>
      <c r="T3" s="129"/>
      <c r="U3" s="129"/>
      <c r="V3" s="129"/>
      <c r="W3" s="129"/>
      <c r="X3" s="129"/>
      <c r="Y3" s="129"/>
      <c r="Z3" s="129"/>
    </row>
    <row r="4" ht="18.0" customHeight="1">
      <c r="A4" s="130" t="s">
        <v>147</v>
      </c>
      <c r="B4" s="133">
        <f>COUNTIF(A11:A312, "IT*")</f>
        <v>10</v>
      </c>
      <c r="C4" s="5"/>
      <c r="D4" s="5"/>
      <c r="E4" s="132"/>
      <c r="F4" s="126"/>
      <c r="G4" s="127"/>
      <c r="H4" s="50"/>
      <c r="I4" s="126"/>
      <c r="J4" s="127"/>
      <c r="K4" s="50"/>
      <c r="L4" s="126"/>
      <c r="M4" s="127"/>
      <c r="N4" s="50"/>
      <c r="O4" s="50"/>
      <c r="P4" s="50"/>
      <c r="Q4" s="128"/>
      <c r="R4" s="129" t="s">
        <v>135</v>
      </c>
      <c r="S4" s="129"/>
      <c r="T4" s="129"/>
      <c r="U4" s="129"/>
      <c r="V4" s="129"/>
      <c r="W4" s="129"/>
      <c r="X4" s="129"/>
      <c r="Y4" s="129"/>
      <c r="Z4" s="129"/>
    </row>
    <row r="5" ht="19.5" customHeight="1">
      <c r="A5" s="134" t="s">
        <v>148</v>
      </c>
      <c r="B5" s="135" t="s">
        <v>133</v>
      </c>
      <c r="C5" s="135" t="s">
        <v>134</v>
      </c>
      <c r="D5" s="135" t="s">
        <v>135</v>
      </c>
      <c r="E5" s="136" t="s">
        <v>136</v>
      </c>
      <c r="F5" s="137"/>
      <c r="G5" s="137"/>
      <c r="H5" s="138"/>
      <c r="I5" s="137"/>
      <c r="J5" s="137"/>
      <c r="K5" s="138"/>
      <c r="L5" s="137"/>
      <c r="M5" s="137"/>
      <c r="N5" s="138"/>
      <c r="O5" s="138"/>
      <c r="P5" s="138"/>
      <c r="Q5" s="139"/>
      <c r="R5" s="129" t="s">
        <v>136</v>
      </c>
      <c r="S5" s="129"/>
      <c r="T5" s="129"/>
      <c r="U5" s="129"/>
      <c r="V5" s="129"/>
      <c r="W5" s="129"/>
      <c r="X5" s="129"/>
      <c r="Y5" s="129"/>
      <c r="Z5" s="129"/>
    </row>
    <row r="6" ht="15.0" customHeight="1">
      <c r="A6" s="134" t="s">
        <v>149</v>
      </c>
      <c r="B6" s="140">
        <f t="shared" ref="B6:E6" si="1">COUNTIF($F10:$F988,B5)</f>
        <v>10</v>
      </c>
      <c r="C6" s="140">
        <f t="shared" si="1"/>
        <v>0</v>
      </c>
      <c r="D6" s="140">
        <f t="shared" si="1"/>
        <v>0</v>
      </c>
      <c r="E6" s="141">
        <f t="shared" si="1"/>
        <v>0</v>
      </c>
      <c r="F6" s="142"/>
      <c r="G6" s="142"/>
      <c r="H6" s="138"/>
      <c r="I6" s="142"/>
      <c r="J6" s="142"/>
      <c r="K6" s="138"/>
      <c r="L6" s="142"/>
      <c r="M6" s="142"/>
      <c r="N6" s="138"/>
      <c r="O6" s="138"/>
      <c r="P6" s="138"/>
      <c r="Q6" s="139"/>
      <c r="R6" s="129"/>
      <c r="S6" s="129"/>
      <c r="T6" s="129"/>
      <c r="U6" s="129"/>
      <c r="V6" s="129"/>
      <c r="W6" s="129"/>
      <c r="X6" s="129"/>
      <c r="Y6" s="129"/>
      <c r="Z6" s="129"/>
    </row>
    <row r="7" ht="15.0" customHeight="1">
      <c r="A7" s="134" t="s">
        <v>150</v>
      </c>
      <c r="B7" s="140">
        <f t="shared" ref="B7:E7" si="2">COUNTIF($F10:$F988,B5)</f>
        <v>10</v>
      </c>
      <c r="C7" s="140">
        <f t="shared" si="2"/>
        <v>0</v>
      </c>
      <c r="D7" s="140">
        <f t="shared" si="2"/>
        <v>0</v>
      </c>
      <c r="E7" s="141">
        <f t="shared" si="2"/>
        <v>0</v>
      </c>
      <c r="F7" s="142"/>
      <c r="G7" s="142"/>
      <c r="H7" s="138"/>
      <c r="I7" s="142"/>
      <c r="J7" s="142"/>
      <c r="K7" s="138"/>
      <c r="L7" s="142"/>
      <c r="M7" s="142"/>
      <c r="N7" s="138"/>
      <c r="O7" s="138"/>
      <c r="P7" s="138"/>
      <c r="Q7" s="139"/>
      <c r="R7" s="129"/>
      <c r="S7" s="129"/>
      <c r="T7" s="129"/>
      <c r="U7" s="129"/>
      <c r="V7" s="129"/>
      <c r="W7" s="129"/>
      <c r="X7" s="129"/>
      <c r="Y7" s="129"/>
      <c r="Z7" s="129"/>
    </row>
    <row r="8" ht="15.0" customHeight="1">
      <c r="A8" s="143" t="s">
        <v>151</v>
      </c>
      <c r="B8" s="144">
        <f t="shared" ref="B8:E8" si="3">COUNTIF($F10:$F988,B5)</f>
        <v>10</v>
      </c>
      <c r="C8" s="144">
        <f t="shared" si="3"/>
        <v>0</v>
      </c>
      <c r="D8" s="144">
        <f t="shared" si="3"/>
        <v>0</v>
      </c>
      <c r="E8" s="145">
        <f t="shared" si="3"/>
        <v>0</v>
      </c>
      <c r="F8" s="142"/>
      <c r="G8" s="142"/>
      <c r="H8" s="138"/>
      <c r="I8" s="142"/>
      <c r="J8" s="142"/>
      <c r="K8" s="138"/>
      <c r="L8" s="142"/>
      <c r="M8" s="142"/>
      <c r="N8" s="138"/>
      <c r="O8" s="138"/>
      <c r="P8" s="138"/>
      <c r="Q8" s="139"/>
      <c r="R8" s="129"/>
      <c r="S8" s="129"/>
      <c r="T8" s="129"/>
      <c r="U8" s="129"/>
      <c r="V8" s="129"/>
      <c r="W8" s="129"/>
      <c r="X8" s="129"/>
      <c r="Y8" s="129"/>
      <c r="Z8" s="129"/>
    </row>
    <row r="9" ht="15.0" customHeight="1">
      <c r="A9" s="138"/>
      <c r="B9" s="138"/>
      <c r="C9" s="138"/>
      <c r="D9" s="138"/>
      <c r="E9" s="138"/>
      <c r="F9" s="120"/>
      <c r="G9" s="138"/>
      <c r="H9" s="138"/>
      <c r="I9" s="120"/>
      <c r="J9" s="138"/>
      <c r="K9" s="138"/>
      <c r="L9" s="120"/>
      <c r="M9" s="138"/>
      <c r="N9" s="138"/>
      <c r="O9" s="138"/>
      <c r="P9" s="138"/>
      <c r="Q9" s="139"/>
      <c r="R9" s="129"/>
      <c r="S9" s="129"/>
      <c r="T9" s="129"/>
      <c r="U9" s="129"/>
      <c r="V9" s="129"/>
      <c r="W9" s="129"/>
      <c r="X9" s="129"/>
      <c r="Y9" s="129"/>
      <c r="Z9" s="129"/>
    </row>
    <row r="10" ht="25.5" customHeight="1">
      <c r="A10" s="146" t="s">
        <v>152</v>
      </c>
      <c r="B10" s="146" t="s">
        <v>153</v>
      </c>
      <c r="C10" s="146" t="s">
        <v>154</v>
      </c>
      <c r="D10" s="146" t="s">
        <v>155</v>
      </c>
      <c r="E10" s="146" t="s">
        <v>156</v>
      </c>
      <c r="F10" s="146" t="s">
        <v>149</v>
      </c>
      <c r="G10" s="146" t="s">
        <v>157</v>
      </c>
      <c r="H10" s="146" t="s">
        <v>158</v>
      </c>
      <c r="I10" s="146" t="s">
        <v>150</v>
      </c>
      <c r="J10" s="146" t="s">
        <v>157</v>
      </c>
      <c r="K10" s="146" t="s">
        <v>158</v>
      </c>
      <c r="L10" s="146" t="s">
        <v>151</v>
      </c>
      <c r="M10" s="146" t="s">
        <v>157</v>
      </c>
      <c r="N10" s="146" t="s">
        <v>158</v>
      </c>
      <c r="O10" s="146" t="s">
        <v>159</v>
      </c>
      <c r="P10" s="129"/>
      <c r="Q10" s="147"/>
      <c r="R10" s="129"/>
      <c r="S10" s="129"/>
      <c r="T10" s="129"/>
      <c r="U10" s="129"/>
      <c r="V10" s="129"/>
      <c r="W10" s="129"/>
      <c r="X10" s="129"/>
      <c r="Y10" s="129"/>
      <c r="Z10" s="129"/>
    </row>
    <row r="11" ht="15.75" customHeight="1">
      <c r="A11" s="219" t="s">
        <v>793</v>
      </c>
      <c r="B11" s="220"/>
      <c r="C11" s="221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129"/>
      <c r="Q11" s="152"/>
      <c r="R11" s="129"/>
      <c r="S11" s="129"/>
      <c r="T11" s="129"/>
      <c r="U11" s="129"/>
      <c r="V11" s="129"/>
      <c r="W11" s="129"/>
      <c r="X11" s="129"/>
      <c r="Y11" s="129"/>
      <c r="Z11" s="129"/>
    </row>
    <row r="12" ht="12.75" customHeight="1" outlineLevel="1">
      <c r="A12" s="196" t="s">
        <v>794</v>
      </c>
      <c r="B12" s="196" t="s">
        <v>795</v>
      </c>
      <c r="C12" s="217" t="s">
        <v>796</v>
      </c>
      <c r="D12" s="196" t="s">
        <v>797</v>
      </c>
      <c r="E12" s="196"/>
      <c r="F12" s="196" t="s">
        <v>133</v>
      </c>
      <c r="G12" s="196" t="s">
        <v>364</v>
      </c>
      <c r="H12" s="196" t="s">
        <v>4</v>
      </c>
      <c r="I12" s="196" t="s">
        <v>133</v>
      </c>
      <c r="J12" s="196" t="s">
        <v>364</v>
      </c>
      <c r="K12" s="196" t="s">
        <v>165</v>
      </c>
      <c r="L12" s="196" t="s">
        <v>133</v>
      </c>
      <c r="M12" s="196" t="s">
        <v>364</v>
      </c>
      <c r="N12" s="196" t="s">
        <v>166</v>
      </c>
      <c r="O12" s="197"/>
      <c r="P12" s="10"/>
      <c r="Q12" s="157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 outlineLevel="1">
      <c r="A13" s="153" t="s">
        <v>798</v>
      </c>
      <c r="B13" s="153" t="s">
        <v>799</v>
      </c>
      <c r="C13" s="171" t="s">
        <v>800</v>
      </c>
      <c r="D13" s="153" t="s">
        <v>801</v>
      </c>
      <c r="E13" s="196" t="s">
        <v>802</v>
      </c>
      <c r="F13" s="196" t="s">
        <v>133</v>
      </c>
      <c r="G13" s="196" t="s">
        <v>364</v>
      </c>
      <c r="H13" s="196" t="s">
        <v>4</v>
      </c>
      <c r="I13" s="196" t="s">
        <v>133</v>
      </c>
      <c r="J13" s="196" t="s">
        <v>364</v>
      </c>
      <c r="K13" s="196" t="s">
        <v>165</v>
      </c>
      <c r="L13" s="196" t="s">
        <v>133</v>
      </c>
      <c r="M13" s="196" t="s">
        <v>364</v>
      </c>
      <c r="N13" s="196" t="s">
        <v>166</v>
      </c>
      <c r="O13" s="197"/>
      <c r="P13" s="10"/>
      <c r="Q13" s="121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96" t="s">
        <v>803</v>
      </c>
      <c r="B14" s="153" t="s">
        <v>804</v>
      </c>
      <c r="C14" s="171" t="s">
        <v>805</v>
      </c>
      <c r="D14" s="153" t="s">
        <v>806</v>
      </c>
      <c r="E14" s="196" t="s">
        <v>807</v>
      </c>
      <c r="F14" s="196" t="s">
        <v>133</v>
      </c>
      <c r="G14" s="196" t="s">
        <v>364</v>
      </c>
      <c r="H14" s="196" t="s">
        <v>4</v>
      </c>
      <c r="I14" s="196" t="s">
        <v>133</v>
      </c>
      <c r="J14" s="196" t="s">
        <v>364</v>
      </c>
      <c r="K14" s="196" t="s">
        <v>165</v>
      </c>
      <c r="L14" s="196" t="s">
        <v>133</v>
      </c>
      <c r="M14" s="196" t="s">
        <v>364</v>
      </c>
      <c r="N14" s="196" t="s">
        <v>166</v>
      </c>
      <c r="O14" s="197"/>
      <c r="P14" s="10"/>
      <c r="Q14" s="121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53" t="s">
        <v>808</v>
      </c>
      <c r="B15" s="202" t="s">
        <v>809</v>
      </c>
      <c r="C15" s="222" t="s">
        <v>810</v>
      </c>
      <c r="D15" s="202" t="s">
        <v>811</v>
      </c>
      <c r="E15" s="196" t="s">
        <v>812</v>
      </c>
      <c r="F15" s="196" t="s">
        <v>133</v>
      </c>
      <c r="G15" s="196" t="s">
        <v>364</v>
      </c>
      <c r="H15" s="196" t="s">
        <v>4</v>
      </c>
      <c r="I15" s="196" t="s">
        <v>133</v>
      </c>
      <c r="J15" s="196" t="s">
        <v>364</v>
      </c>
      <c r="K15" s="196" t="s">
        <v>165</v>
      </c>
      <c r="L15" s="196" t="s">
        <v>133</v>
      </c>
      <c r="M15" s="196" t="s">
        <v>364</v>
      </c>
      <c r="N15" s="196" t="s">
        <v>166</v>
      </c>
      <c r="O15" s="197"/>
      <c r="P15" s="10"/>
      <c r="Q15" s="121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211" t="s">
        <v>813</v>
      </c>
      <c r="B16" s="220"/>
      <c r="C16" s="221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10"/>
      <c r="Q16" s="121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96" t="s">
        <v>814</v>
      </c>
      <c r="B17" s="196" t="s">
        <v>815</v>
      </c>
      <c r="C17" s="217" t="s">
        <v>816</v>
      </c>
      <c r="D17" s="196" t="s">
        <v>817</v>
      </c>
      <c r="E17" s="196" t="s">
        <v>818</v>
      </c>
      <c r="F17" s="196" t="s">
        <v>133</v>
      </c>
      <c r="G17" s="196" t="s">
        <v>364</v>
      </c>
      <c r="H17" s="196" t="s">
        <v>4</v>
      </c>
      <c r="I17" s="196" t="s">
        <v>133</v>
      </c>
      <c r="J17" s="196" t="s">
        <v>364</v>
      </c>
      <c r="K17" s="196" t="s">
        <v>165</v>
      </c>
      <c r="L17" s="196" t="s">
        <v>133</v>
      </c>
      <c r="M17" s="196" t="s">
        <v>364</v>
      </c>
      <c r="N17" s="196" t="s">
        <v>166</v>
      </c>
      <c r="O17" s="197"/>
      <c r="P17" s="10"/>
      <c r="Q17" s="121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53" t="s">
        <v>819</v>
      </c>
      <c r="B18" s="153" t="s">
        <v>820</v>
      </c>
      <c r="C18" s="171" t="s">
        <v>821</v>
      </c>
      <c r="D18" s="153" t="s">
        <v>822</v>
      </c>
      <c r="E18" s="196"/>
      <c r="F18" s="196" t="s">
        <v>133</v>
      </c>
      <c r="G18" s="196" t="s">
        <v>364</v>
      </c>
      <c r="H18" s="196" t="s">
        <v>4</v>
      </c>
      <c r="I18" s="196" t="s">
        <v>133</v>
      </c>
      <c r="J18" s="196" t="s">
        <v>364</v>
      </c>
      <c r="K18" s="196" t="s">
        <v>165</v>
      </c>
      <c r="L18" s="196" t="s">
        <v>133</v>
      </c>
      <c r="M18" s="196" t="s">
        <v>364</v>
      </c>
      <c r="N18" s="196" t="s">
        <v>166</v>
      </c>
      <c r="O18" s="197"/>
      <c r="P18" s="10"/>
      <c r="Q18" s="121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96" t="s">
        <v>823</v>
      </c>
      <c r="B19" s="153" t="s">
        <v>824</v>
      </c>
      <c r="C19" s="171" t="s">
        <v>825</v>
      </c>
      <c r="D19" s="153" t="s">
        <v>826</v>
      </c>
      <c r="E19" s="196"/>
      <c r="F19" s="196" t="s">
        <v>133</v>
      </c>
      <c r="G19" s="196" t="s">
        <v>364</v>
      </c>
      <c r="H19" s="196" t="s">
        <v>4</v>
      </c>
      <c r="I19" s="196" t="s">
        <v>133</v>
      </c>
      <c r="J19" s="196" t="s">
        <v>364</v>
      </c>
      <c r="K19" s="196" t="s">
        <v>165</v>
      </c>
      <c r="L19" s="196" t="s">
        <v>133</v>
      </c>
      <c r="M19" s="196" t="s">
        <v>364</v>
      </c>
      <c r="N19" s="196" t="s">
        <v>166</v>
      </c>
      <c r="O19" s="197"/>
      <c r="P19" s="10"/>
      <c r="Q19" s="121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53" t="s">
        <v>827</v>
      </c>
      <c r="B20" s="223" t="s">
        <v>828</v>
      </c>
      <c r="C20" s="224" t="s">
        <v>829</v>
      </c>
      <c r="D20" s="223" t="s">
        <v>830</v>
      </c>
      <c r="E20" s="225"/>
      <c r="F20" s="225" t="s">
        <v>133</v>
      </c>
      <c r="G20" s="225" t="s">
        <v>364</v>
      </c>
      <c r="H20" s="225" t="s">
        <v>4</v>
      </c>
      <c r="I20" s="225" t="s">
        <v>133</v>
      </c>
      <c r="J20" s="225" t="s">
        <v>364</v>
      </c>
      <c r="K20" s="225" t="s">
        <v>165</v>
      </c>
      <c r="L20" s="225" t="s">
        <v>133</v>
      </c>
      <c r="M20" s="225" t="s">
        <v>364</v>
      </c>
      <c r="N20" s="225" t="s">
        <v>166</v>
      </c>
      <c r="O20" s="197"/>
      <c r="P20" s="10"/>
      <c r="Q20" s="121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96" t="s">
        <v>831</v>
      </c>
      <c r="B21" s="223" t="s">
        <v>832</v>
      </c>
      <c r="C21" s="224" t="s">
        <v>833</v>
      </c>
      <c r="D21" s="223" t="s">
        <v>834</v>
      </c>
      <c r="E21" s="225" t="s">
        <v>835</v>
      </c>
      <c r="F21" s="225" t="s">
        <v>133</v>
      </c>
      <c r="G21" s="225" t="s">
        <v>364</v>
      </c>
      <c r="H21" s="225" t="s">
        <v>4</v>
      </c>
      <c r="I21" s="225" t="s">
        <v>133</v>
      </c>
      <c r="J21" s="225" t="s">
        <v>364</v>
      </c>
      <c r="K21" s="225" t="s">
        <v>165</v>
      </c>
      <c r="L21" s="225" t="s">
        <v>133</v>
      </c>
      <c r="M21" s="225" t="s">
        <v>364</v>
      </c>
      <c r="N21" s="225" t="s">
        <v>166</v>
      </c>
      <c r="O21" s="197"/>
      <c r="P21" s="10"/>
      <c r="Q21" s="121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53" t="s">
        <v>836</v>
      </c>
      <c r="B22" s="153" t="s">
        <v>837</v>
      </c>
      <c r="C22" s="171" t="s">
        <v>838</v>
      </c>
      <c r="D22" s="153" t="s">
        <v>839</v>
      </c>
      <c r="E22" s="196" t="s">
        <v>840</v>
      </c>
      <c r="F22" s="225" t="s">
        <v>133</v>
      </c>
      <c r="G22" s="225" t="s">
        <v>364</v>
      </c>
      <c r="H22" s="225" t="s">
        <v>4</v>
      </c>
      <c r="I22" s="225" t="s">
        <v>133</v>
      </c>
      <c r="J22" s="225" t="s">
        <v>364</v>
      </c>
      <c r="K22" s="225" t="s">
        <v>165</v>
      </c>
      <c r="L22" s="225" t="s">
        <v>133</v>
      </c>
      <c r="M22" s="225" t="s">
        <v>364</v>
      </c>
      <c r="N22" s="225" t="s">
        <v>166</v>
      </c>
      <c r="O22" s="197"/>
      <c r="P22" s="10"/>
      <c r="Q22" s="121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21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21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21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1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1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1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1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1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1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1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1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1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1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1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1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1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1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1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1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1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1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1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1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1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1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1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1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1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1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1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1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1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1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1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1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1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1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1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1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1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1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1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1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1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1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1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1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1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1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1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1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1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1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1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1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1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1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1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1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1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1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1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1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1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1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1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1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1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1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1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1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1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1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1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1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1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1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1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1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1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1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1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1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1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1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1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1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1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1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1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1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1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1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1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1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1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1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1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1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1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1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1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1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1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1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1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1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1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1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1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1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1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1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1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1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1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1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1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1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1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1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1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1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1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1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1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1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1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1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1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1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1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1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1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1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1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1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1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1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1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1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1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1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1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1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1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1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1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1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1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1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1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1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1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1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1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1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1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1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1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1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1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1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1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1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1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1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1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1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1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1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1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1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1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1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1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1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1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1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1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1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1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1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1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1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1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1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1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1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1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1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1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1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1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1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1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1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1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1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1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1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1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1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1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1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1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1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1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1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1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1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1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1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1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1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1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1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1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1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1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1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1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1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1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1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1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1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1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1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1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1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1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1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1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1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1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1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1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1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1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1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1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1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1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1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1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1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1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1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1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1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1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1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1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1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1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1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1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1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1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1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1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1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1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1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1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1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1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1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1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1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1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1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1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1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1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1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1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1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1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1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1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1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1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1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1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1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1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1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1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1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1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1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1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1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1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1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1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1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1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1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1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1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1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1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1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1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1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1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1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1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1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1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1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1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1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1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1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1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1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1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1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1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1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1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1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1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1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1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1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1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1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1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1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1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1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1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1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1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1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1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1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1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1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1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1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1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1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1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1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1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1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1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1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1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1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1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1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1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1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1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1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1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1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1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1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1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1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1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1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1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1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1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1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1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1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1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1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1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1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1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1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1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1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1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1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1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1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1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1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1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1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1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1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1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1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1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1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1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1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1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1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1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1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1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1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1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1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1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1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1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1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1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1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1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1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1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1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1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1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1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1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1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1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1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1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1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1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1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1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1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1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1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1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1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1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1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1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1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1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1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1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1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1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1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1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1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1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1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1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1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1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1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1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1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1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1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1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1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1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1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1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1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1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1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1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1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1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1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1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1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1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1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1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1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1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1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1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1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1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1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1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1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1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1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1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1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1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1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1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1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1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1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1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1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1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1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1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1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1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1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1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1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1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1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1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1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1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1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1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1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1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1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1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1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1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1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1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1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1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1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1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1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1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1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1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1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1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1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1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1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1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1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1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1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1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1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1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1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1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1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1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1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1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1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1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1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1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1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1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1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1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1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1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1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1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1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1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1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1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1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1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1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1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1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1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1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1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1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1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1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1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1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1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1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1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1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1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1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1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1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1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1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1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1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1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1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1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1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1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1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1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1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1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1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1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1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1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1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1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1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1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1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1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1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1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1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1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1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1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1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1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1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1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1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1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1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1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1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1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1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1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1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1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1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1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1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1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1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1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1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1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1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1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1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1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1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1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1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1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1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1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1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1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1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1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1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1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1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1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1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1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1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1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1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1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1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1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1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1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1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1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1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1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1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1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1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1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1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1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1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1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1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1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1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1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1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1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1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1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1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1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1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1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1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1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1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1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1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1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1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1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1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1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1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1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1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1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1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1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1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1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1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1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1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1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1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1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1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1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1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1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1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1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1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1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1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1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1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1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1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1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1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1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1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1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1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1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1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1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1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1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1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1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1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1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1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1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1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1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1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1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1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1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1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1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1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1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1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1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1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1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1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1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21"/>
      <c r="R992" s="10"/>
      <c r="S992" s="10"/>
      <c r="T992" s="10"/>
      <c r="U992" s="10"/>
      <c r="V992" s="10"/>
      <c r="W992" s="10"/>
      <c r="X992" s="10"/>
      <c r="Y992" s="10"/>
      <c r="Z992" s="1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1:F22 I11:I22 L11:L22 G23:G137 J23:J137 M23:M137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9.63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2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22" t="s">
        <v>145</v>
      </c>
      <c r="B2" s="123" t="s">
        <v>89</v>
      </c>
      <c r="C2" s="124"/>
      <c r="D2" s="124"/>
      <c r="E2" s="125"/>
      <c r="F2" s="126"/>
      <c r="G2" s="127"/>
      <c r="H2" s="50"/>
      <c r="I2" s="126"/>
      <c r="J2" s="127"/>
      <c r="K2" s="50"/>
      <c r="L2" s="126"/>
      <c r="M2" s="127"/>
      <c r="N2" s="50"/>
      <c r="O2" s="50"/>
      <c r="P2" s="50"/>
      <c r="Q2" s="128"/>
      <c r="R2" s="129" t="s">
        <v>133</v>
      </c>
      <c r="S2" s="129"/>
      <c r="T2" s="129"/>
      <c r="U2" s="129"/>
      <c r="V2" s="129"/>
      <c r="W2" s="129"/>
      <c r="X2" s="129"/>
      <c r="Y2" s="129"/>
      <c r="Z2" s="129"/>
    </row>
    <row r="3" ht="12.75" customHeight="1">
      <c r="A3" s="130" t="s">
        <v>146</v>
      </c>
      <c r="B3" s="131" t="s">
        <v>841</v>
      </c>
      <c r="C3" s="5"/>
      <c r="D3" s="5"/>
      <c r="E3" s="132"/>
      <c r="F3" s="126"/>
      <c r="G3" s="127"/>
      <c r="H3" s="50"/>
      <c r="I3" s="126"/>
      <c r="J3" s="127"/>
      <c r="K3" s="50"/>
      <c r="L3" s="126"/>
      <c r="M3" s="127"/>
      <c r="N3" s="50"/>
      <c r="O3" s="50"/>
      <c r="P3" s="50"/>
      <c r="Q3" s="128"/>
      <c r="R3" s="129" t="s">
        <v>134</v>
      </c>
      <c r="S3" s="129"/>
      <c r="T3" s="129"/>
      <c r="U3" s="129"/>
      <c r="V3" s="129"/>
      <c r="W3" s="129"/>
      <c r="X3" s="129"/>
      <c r="Y3" s="129"/>
      <c r="Z3" s="129"/>
    </row>
    <row r="4" ht="18.0" customHeight="1">
      <c r="A4" s="130" t="s">
        <v>147</v>
      </c>
      <c r="B4" s="133">
        <f>COUNTIF(A11:A315, "CA*")</f>
        <v>21</v>
      </c>
      <c r="C4" s="5"/>
      <c r="D4" s="5"/>
      <c r="E4" s="132"/>
      <c r="F4" s="126"/>
      <c r="G4" s="127"/>
      <c r="H4" s="50"/>
      <c r="I4" s="126"/>
      <c r="J4" s="127"/>
      <c r="K4" s="50"/>
      <c r="L4" s="126"/>
      <c r="M4" s="127"/>
      <c r="N4" s="50"/>
      <c r="O4" s="50"/>
      <c r="P4" s="50"/>
      <c r="Q4" s="128"/>
      <c r="R4" s="129" t="s">
        <v>135</v>
      </c>
      <c r="S4" s="129"/>
      <c r="T4" s="129"/>
      <c r="U4" s="129"/>
      <c r="V4" s="129"/>
      <c r="W4" s="129"/>
      <c r="X4" s="129"/>
      <c r="Y4" s="129"/>
      <c r="Z4" s="129"/>
    </row>
    <row r="5" ht="19.5" customHeight="1">
      <c r="A5" s="134" t="s">
        <v>148</v>
      </c>
      <c r="B5" s="135" t="s">
        <v>133</v>
      </c>
      <c r="C5" s="135" t="s">
        <v>134</v>
      </c>
      <c r="D5" s="135" t="s">
        <v>135</v>
      </c>
      <c r="E5" s="136" t="s">
        <v>136</v>
      </c>
      <c r="F5" s="137"/>
      <c r="G5" s="137"/>
      <c r="H5" s="138"/>
      <c r="I5" s="137"/>
      <c r="J5" s="137"/>
      <c r="K5" s="138"/>
      <c r="L5" s="137"/>
      <c r="M5" s="137"/>
      <c r="N5" s="138"/>
      <c r="O5" s="138"/>
      <c r="P5" s="138"/>
      <c r="Q5" s="139"/>
      <c r="R5" s="129" t="s">
        <v>136</v>
      </c>
      <c r="S5" s="129"/>
      <c r="T5" s="129"/>
      <c r="U5" s="129"/>
      <c r="V5" s="129"/>
      <c r="W5" s="129"/>
      <c r="X5" s="129"/>
      <c r="Y5" s="129"/>
      <c r="Z5" s="129"/>
    </row>
    <row r="6" ht="15.0" customHeight="1">
      <c r="A6" s="134" t="s">
        <v>149</v>
      </c>
      <c r="B6" s="140">
        <f t="shared" ref="B6:E6" si="1">COUNTIF($F10:$F994,B5)</f>
        <v>21</v>
      </c>
      <c r="C6" s="140">
        <f t="shared" si="1"/>
        <v>0</v>
      </c>
      <c r="D6" s="140">
        <f t="shared" si="1"/>
        <v>0</v>
      </c>
      <c r="E6" s="141">
        <f t="shared" si="1"/>
        <v>0</v>
      </c>
      <c r="F6" s="142"/>
      <c r="G6" s="142"/>
      <c r="H6" s="138"/>
      <c r="I6" s="142"/>
      <c r="J6" s="142"/>
      <c r="K6" s="138"/>
      <c r="L6" s="142"/>
      <c r="M6" s="142"/>
      <c r="N6" s="138"/>
      <c r="O6" s="138"/>
      <c r="P6" s="138"/>
      <c r="Q6" s="139"/>
      <c r="R6" s="129"/>
      <c r="S6" s="129"/>
      <c r="T6" s="129"/>
      <c r="U6" s="129"/>
      <c r="V6" s="129"/>
      <c r="W6" s="129"/>
      <c r="X6" s="129"/>
      <c r="Y6" s="129"/>
      <c r="Z6" s="129"/>
    </row>
    <row r="7" ht="15.0" customHeight="1">
      <c r="A7" s="134" t="s">
        <v>150</v>
      </c>
      <c r="B7" s="140">
        <f t="shared" ref="B7:E7" si="2">COUNTIF($F10:$F994,B5)</f>
        <v>21</v>
      </c>
      <c r="C7" s="140">
        <f t="shared" si="2"/>
        <v>0</v>
      </c>
      <c r="D7" s="140">
        <f t="shared" si="2"/>
        <v>0</v>
      </c>
      <c r="E7" s="141">
        <f t="shared" si="2"/>
        <v>0</v>
      </c>
      <c r="F7" s="142"/>
      <c r="G7" s="142"/>
      <c r="H7" s="138"/>
      <c r="I7" s="142"/>
      <c r="J7" s="142"/>
      <c r="K7" s="138"/>
      <c r="L7" s="142"/>
      <c r="M7" s="142"/>
      <c r="N7" s="138"/>
      <c r="O7" s="138"/>
      <c r="P7" s="138"/>
      <c r="Q7" s="139"/>
      <c r="R7" s="129"/>
      <c r="S7" s="129"/>
      <c r="T7" s="129"/>
      <c r="U7" s="129"/>
      <c r="V7" s="129"/>
      <c r="W7" s="129"/>
      <c r="X7" s="129"/>
      <c r="Y7" s="129"/>
      <c r="Z7" s="129"/>
    </row>
    <row r="8" ht="15.0" customHeight="1">
      <c r="A8" s="143" t="s">
        <v>151</v>
      </c>
      <c r="B8" s="144">
        <f t="shared" ref="B8:E8" si="3">COUNTIF($F10:$F994,B5)</f>
        <v>21</v>
      </c>
      <c r="C8" s="144">
        <f t="shared" si="3"/>
        <v>0</v>
      </c>
      <c r="D8" s="144">
        <f t="shared" si="3"/>
        <v>0</v>
      </c>
      <c r="E8" s="145">
        <f t="shared" si="3"/>
        <v>0</v>
      </c>
      <c r="F8" s="142"/>
      <c r="G8" s="142"/>
      <c r="H8" s="138"/>
      <c r="I8" s="142"/>
      <c r="J8" s="142"/>
      <c r="K8" s="138"/>
      <c r="L8" s="142"/>
      <c r="M8" s="142"/>
      <c r="N8" s="138"/>
      <c r="O8" s="138"/>
      <c r="P8" s="138"/>
      <c r="Q8" s="139"/>
      <c r="R8" s="129"/>
      <c r="S8" s="129"/>
      <c r="T8" s="129"/>
      <c r="U8" s="129"/>
      <c r="V8" s="129"/>
      <c r="W8" s="129"/>
      <c r="X8" s="129"/>
      <c r="Y8" s="129"/>
      <c r="Z8" s="129"/>
    </row>
    <row r="9" ht="15.0" customHeight="1">
      <c r="A9" s="138"/>
      <c r="B9" s="138"/>
      <c r="C9" s="138"/>
      <c r="D9" s="138"/>
      <c r="E9" s="138"/>
      <c r="F9" s="120"/>
      <c r="G9" s="138"/>
      <c r="H9" s="138"/>
      <c r="I9" s="120"/>
      <c r="J9" s="138"/>
      <c r="K9" s="138"/>
      <c r="L9" s="120"/>
      <c r="M9" s="138"/>
      <c r="N9" s="138"/>
      <c r="O9" s="138"/>
      <c r="P9" s="138"/>
      <c r="Q9" s="139"/>
      <c r="R9" s="129"/>
      <c r="S9" s="129"/>
      <c r="T9" s="129"/>
      <c r="U9" s="129"/>
      <c r="V9" s="129"/>
      <c r="W9" s="129"/>
      <c r="X9" s="129"/>
      <c r="Y9" s="129"/>
      <c r="Z9" s="129"/>
    </row>
    <row r="10" ht="25.5" customHeight="1">
      <c r="A10" s="146" t="s">
        <v>152</v>
      </c>
      <c r="B10" s="146" t="s">
        <v>153</v>
      </c>
      <c r="C10" s="146" t="s">
        <v>154</v>
      </c>
      <c r="D10" s="146" t="s">
        <v>155</v>
      </c>
      <c r="E10" s="146" t="s">
        <v>156</v>
      </c>
      <c r="F10" s="146" t="s">
        <v>149</v>
      </c>
      <c r="G10" s="146" t="s">
        <v>157</v>
      </c>
      <c r="H10" s="146" t="s">
        <v>158</v>
      </c>
      <c r="I10" s="146" t="s">
        <v>150</v>
      </c>
      <c r="J10" s="146" t="s">
        <v>157</v>
      </c>
      <c r="K10" s="146" t="s">
        <v>158</v>
      </c>
      <c r="L10" s="146" t="s">
        <v>151</v>
      </c>
      <c r="M10" s="146" t="s">
        <v>157</v>
      </c>
      <c r="N10" s="146" t="s">
        <v>158</v>
      </c>
      <c r="O10" s="146" t="s">
        <v>159</v>
      </c>
      <c r="P10" s="129"/>
      <c r="Q10" s="147"/>
      <c r="R10" s="129"/>
      <c r="S10" s="129"/>
      <c r="T10" s="129"/>
      <c r="U10" s="129"/>
      <c r="V10" s="129"/>
      <c r="W10" s="129"/>
      <c r="X10" s="129"/>
      <c r="Y10" s="129"/>
      <c r="Z10" s="129"/>
    </row>
    <row r="11" ht="15.75" customHeight="1">
      <c r="A11" s="211" t="s">
        <v>842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183"/>
      <c r="Q11" s="152"/>
      <c r="R11" s="129"/>
      <c r="S11" s="129"/>
      <c r="T11" s="129"/>
      <c r="U11" s="129"/>
      <c r="V11" s="129"/>
      <c r="W11" s="129"/>
      <c r="X11" s="129"/>
      <c r="Y11" s="129"/>
      <c r="Z11" s="129"/>
    </row>
    <row r="12" ht="12.75" customHeight="1">
      <c r="A12" s="153" t="s">
        <v>843</v>
      </c>
      <c r="B12" s="153" t="s">
        <v>844</v>
      </c>
      <c r="C12" s="171" t="s">
        <v>845</v>
      </c>
      <c r="D12" s="153" t="s">
        <v>846</v>
      </c>
      <c r="E12" s="153" t="s">
        <v>807</v>
      </c>
      <c r="F12" s="153" t="s">
        <v>133</v>
      </c>
      <c r="G12" s="172">
        <v>45700.0</v>
      </c>
      <c r="H12" s="153" t="s">
        <v>173</v>
      </c>
      <c r="I12" s="153" t="s">
        <v>133</v>
      </c>
      <c r="J12" s="172">
        <v>45728.0</v>
      </c>
      <c r="K12" s="153" t="s">
        <v>165</v>
      </c>
      <c r="L12" s="153" t="s">
        <v>133</v>
      </c>
      <c r="M12" s="172">
        <v>45728.0</v>
      </c>
      <c r="N12" s="153" t="s">
        <v>166</v>
      </c>
      <c r="O12" s="156"/>
      <c r="P12" s="68"/>
      <c r="Q12" s="121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53" t="s">
        <v>847</v>
      </c>
      <c r="B13" s="153" t="s">
        <v>848</v>
      </c>
      <c r="C13" s="171" t="s">
        <v>849</v>
      </c>
      <c r="D13" s="153" t="s">
        <v>850</v>
      </c>
      <c r="E13" s="153" t="s">
        <v>812</v>
      </c>
      <c r="F13" s="153" t="s">
        <v>133</v>
      </c>
      <c r="G13" s="172">
        <v>45700.0</v>
      </c>
      <c r="H13" s="153" t="s">
        <v>173</v>
      </c>
      <c r="I13" s="153" t="s">
        <v>133</v>
      </c>
      <c r="J13" s="172">
        <v>45728.0</v>
      </c>
      <c r="K13" s="153" t="s">
        <v>165</v>
      </c>
      <c r="L13" s="153" t="s">
        <v>133</v>
      </c>
      <c r="M13" s="172">
        <v>45728.0</v>
      </c>
      <c r="N13" s="153" t="s">
        <v>166</v>
      </c>
      <c r="O13" s="156"/>
      <c r="P13" s="68"/>
      <c r="Q13" s="121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53" t="s">
        <v>851</v>
      </c>
      <c r="B14" s="153" t="s">
        <v>852</v>
      </c>
      <c r="C14" s="171" t="s">
        <v>853</v>
      </c>
      <c r="D14" s="153" t="s">
        <v>854</v>
      </c>
      <c r="E14" s="153" t="s">
        <v>136</v>
      </c>
      <c r="F14" s="153" t="s">
        <v>133</v>
      </c>
      <c r="G14" s="172">
        <v>45700.0</v>
      </c>
      <c r="H14" s="153" t="s">
        <v>173</v>
      </c>
      <c r="I14" s="153" t="s">
        <v>133</v>
      </c>
      <c r="J14" s="172">
        <v>45728.0</v>
      </c>
      <c r="K14" s="153" t="s">
        <v>165</v>
      </c>
      <c r="L14" s="153" t="s">
        <v>133</v>
      </c>
      <c r="M14" s="172">
        <v>45728.0</v>
      </c>
      <c r="N14" s="153" t="s">
        <v>166</v>
      </c>
      <c r="O14" s="156"/>
      <c r="P14" s="68"/>
      <c r="Q14" s="121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53" t="s">
        <v>855</v>
      </c>
      <c r="B15" s="153" t="s">
        <v>856</v>
      </c>
      <c r="C15" s="171" t="s">
        <v>857</v>
      </c>
      <c r="D15" s="153" t="s">
        <v>858</v>
      </c>
      <c r="E15" s="153" t="s">
        <v>859</v>
      </c>
      <c r="F15" s="153" t="s">
        <v>133</v>
      </c>
      <c r="G15" s="172">
        <v>45700.0</v>
      </c>
      <c r="H15" s="153" t="s">
        <v>173</v>
      </c>
      <c r="I15" s="153" t="s">
        <v>133</v>
      </c>
      <c r="J15" s="172">
        <v>45728.0</v>
      </c>
      <c r="K15" s="153" t="s">
        <v>165</v>
      </c>
      <c r="L15" s="153" t="s">
        <v>133</v>
      </c>
      <c r="M15" s="172">
        <v>45728.0</v>
      </c>
      <c r="N15" s="153" t="s">
        <v>166</v>
      </c>
      <c r="O15" s="156"/>
      <c r="P15" s="68"/>
      <c r="Q15" s="121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53" t="s">
        <v>860</v>
      </c>
      <c r="B16" s="153" t="s">
        <v>861</v>
      </c>
      <c r="C16" s="171" t="s">
        <v>857</v>
      </c>
      <c r="D16" s="153" t="s">
        <v>862</v>
      </c>
      <c r="E16" s="153" t="s">
        <v>859</v>
      </c>
      <c r="F16" s="153" t="s">
        <v>133</v>
      </c>
      <c r="G16" s="172">
        <v>45700.0</v>
      </c>
      <c r="H16" s="153" t="s">
        <v>173</v>
      </c>
      <c r="I16" s="153" t="s">
        <v>133</v>
      </c>
      <c r="J16" s="172">
        <v>45728.0</v>
      </c>
      <c r="K16" s="153" t="s">
        <v>165</v>
      </c>
      <c r="L16" s="153" t="s">
        <v>133</v>
      </c>
      <c r="M16" s="172">
        <v>45728.0</v>
      </c>
      <c r="N16" s="153" t="s">
        <v>166</v>
      </c>
      <c r="O16" s="156"/>
      <c r="P16" s="68"/>
      <c r="Q16" s="121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53" t="s">
        <v>863</v>
      </c>
      <c r="B17" s="153" t="s">
        <v>864</v>
      </c>
      <c r="C17" s="171" t="s">
        <v>857</v>
      </c>
      <c r="D17" s="153" t="s">
        <v>862</v>
      </c>
      <c r="E17" s="153" t="s">
        <v>865</v>
      </c>
      <c r="F17" s="153" t="s">
        <v>133</v>
      </c>
      <c r="G17" s="172">
        <v>45700.0</v>
      </c>
      <c r="H17" s="153" t="s">
        <v>173</v>
      </c>
      <c r="I17" s="153" t="s">
        <v>133</v>
      </c>
      <c r="J17" s="172">
        <v>45728.0</v>
      </c>
      <c r="K17" s="153" t="s">
        <v>165</v>
      </c>
      <c r="L17" s="153" t="s">
        <v>133</v>
      </c>
      <c r="M17" s="172">
        <v>45728.0</v>
      </c>
      <c r="N17" s="153" t="s">
        <v>166</v>
      </c>
      <c r="O17" s="156"/>
      <c r="P17" s="68"/>
      <c r="Q17" s="121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53" t="s">
        <v>866</v>
      </c>
      <c r="B18" s="153" t="s">
        <v>867</v>
      </c>
      <c r="C18" s="171" t="s">
        <v>868</v>
      </c>
      <c r="D18" s="153" t="s">
        <v>869</v>
      </c>
      <c r="E18" s="153" t="s">
        <v>870</v>
      </c>
      <c r="F18" s="153" t="s">
        <v>133</v>
      </c>
      <c r="G18" s="172">
        <v>45700.0</v>
      </c>
      <c r="H18" s="153" t="s">
        <v>173</v>
      </c>
      <c r="I18" s="153" t="s">
        <v>133</v>
      </c>
      <c r="J18" s="172">
        <v>45728.0</v>
      </c>
      <c r="K18" s="153" t="s">
        <v>165</v>
      </c>
      <c r="L18" s="153" t="s">
        <v>133</v>
      </c>
      <c r="M18" s="172">
        <v>45728.0</v>
      </c>
      <c r="N18" s="153" t="s">
        <v>166</v>
      </c>
      <c r="O18" s="156"/>
      <c r="P18" s="68"/>
      <c r="Q18" s="121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53" t="s">
        <v>871</v>
      </c>
      <c r="B19" s="153" t="s">
        <v>872</v>
      </c>
      <c r="C19" s="171" t="s">
        <v>873</v>
      </c>
      <c r="D19" s="153" t="s">
        <v>874</v>
      </c>
      <c r="E19" s="153" t="s">
        <v>818</v>
      </c>
      <c r="F19" s="153" t="s">
        <v>133</v>
      </c>
      <c r="G19" s="172">
        <v>45700.0</v>
      </c>
      <c r="H19" s="153" t="s">
        <v>173</v>
      </c>
      <c r="I19" s="153" t="s">
        <v>133</v>
      </c>
      <c r="J19" s="172">
        <v>45728.0</v>
      </c>
      <c r="K19" s="153" t="s">
        <v>165</v>
      </c>
      <c r="L19" s="153" t="s">
        <v>133</v>
      </c>
      <c r="M19" s="172">
        <v>45759.0</v>
      </c>
      <c r="N19" s="153" t="s">
        <v>166</v>
      </c>
      <c r="O19" s="156"/>
      <c r="P19" s="68"/>
      <c r="Q19" s="121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53" t="s">
        <v>875</v>
      </c>
      <c r="B20" s="153" t="s">
        <v>876</v>
      </c>
      <c r="C20" s="171" t="s">
        <v>877</v>
      </c>
      <c r="D20" s="153" t="s">
        <v>878</v>
      </c>
      <c r="E20" s="153" t="s">
        <v>136</v>
      </c>
      <c r="F20" s="153" t="s">
        <v>133</v>
      </c>
      <c r="G20" s="172">
        <v>45700.0</v>
      </c>
      <c r="H20" s="153" t="s">
        <v>173</v>
      </c>
      <c r="I20" s="153" t="s">
        <v>133</v>
      </c>
      <c r="J20" s="172">
        <v>45728.0</v>
      </c>
      <c r="K20" s="153" t="s">
        <v>165</v>
      </c>
      <c r="L20" s="153" t="s">
        <v>133</v>
      </c>
      <c r="M20" s="172">
        <v>45759.0</v>
      </c>
      <c r="N20" s="153" t="s">
        <v>166</v>
      </c>
      <c r="O20" s="156"/>
      <c r="P20" s="68"/>
      <c r="Q20" s="121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53" t="s">
        <v>879</v>
      </c>
      <c r="B21" s="153" t="s">
        <v>880</v>
      </c>
      <c r="C21" s="171" t="s">
        <v>881</v>
      </c>
      <c r="D21" s="153" t="s">
        <v>882</v>
      </c>
      <c r="E21" s="153" t="s">
        <v>136</v>
      </c>
      <c r="F21" s="153" t="s">
        <v>133</v>
      </c>
      <c r="G21" s="172">
        <v>45700.0</v>
      </c>
      <c r="H21" s="153" t="s">
        <v>173</v>
      </c>
      <c r="I21" s="153" t="s">
        <v>133</v>
      </c>
      <c r="J21" s="172">
        <v>45728.0</v>
      </c>
      <c r="K21" s="153" t="s">
        <v>165</v>
      </c>
      <c r="L21" s="153" t="s">
        <v>133</v>
      </c>
      <c r="M21" s="172">
        <v>45759.0</v>
      </c>
      <c r="N21" s="153" t="s">
        <v>166</v>
      </c>
      <c r="O21" s="156"/>
      <c r="P21" s="68"/>
      <c r="Q21" s="121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53" t="s">
        <v>883</v>
      </c>
      <c r="B22" s="153" t="s">
        <v>884</v>
      </c>
      <c r="C22" s="171" t="s">
        <v>885</v>
      </c>
      <c r="D22" s="153" t="s">
        <v>886</v>
      </c>
      <c r="E22" s="153" t="s">
        <v>136</v>
      </c>
      <c r="F22" s="153" t="s">
        <v>133</v>
      </c>
      <c r="G22" s="172">
        <v>45700.0</v>
      </c>
      <c r="H22" s="153" t="s">
        <v>173</v>
      </c>
      <c r="I22" s="153" t="s">
        <v>133</v>
      </c>
      <c r="J22" s="172">
        <v>45728.0</v>
      </c>
      <c r="K22" s="153" t="s">
        <v>165</v>
      </c>
      <c r="L22" s="153" t="s">
        <v>133</v>
      </c>
      <c r="M22" s="172">
        <v>45759.0</v>
      </c>
      <c r="N22" s="153" t="s">
        <v>166</v>
      </c>
      <c r="O22" s="75"/>
      <c r="P22" s="68"/>
      <c r="Q22" s="121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53" t="s">
        <v>887</v>
      </c>
      <c r="B23" s="153" t="s">
        <v>888</v>
      </c>
      <c r="C23" s="226" t="s">
        <v>889</v>
      </c>
      <c r="D23" s="153" t="s">
        <v>890</v>
      </c>
      <c r="E23" s="153" t="s">
        <v>136</v>
      </c>
      <c r="F23" s="153" t="s">
        <v>133</v>
      </c>
      <c r="G23" s="172">
        <v>45700.0</v>
      </c>
      <c r="H23" s="153" t="s">
        <v>173</v>
      </c>
      <c r="I23" s="153" t="s">
        <v>133</v>
      </c>
      <c r="J23" s="172">
        <v>45728.0</v>
      </c>
      <c r="K23" s="153" t="s">
        <v>165</v>
      </c>
      <c r="L23" s="153" t="s">
        <v>133</v>
      </c>
      <c r="M23" s="172">
        <v>45759.0</v>
      </c>
      <c r="N23" s="153" t="s">
        <v>166</v>
      </c>
      <c r="O23" s="75"/>
      <c r="P23" s="68"/>
      <c r="Q23" s="121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53" t="s">
        <v>891</v>
      </c>
      <c r="B24" s="153" t="s">
        <v>892</v>
      </c>
      <c r="C24" s="171" t="s">
        <v>893</v>
      </c>
      <c r="D24" s="153" t="s">
        <v>894</v>
      </c>
      <c r="E24" s="153" t="s">
        <v>136</v>
      </c>
      <c r="F24" s="153" t="s">
        <v>133</v>
      </c>
      <c r="G24" s="172">
        <v>45700.0</v>
      </c>
      <c r="H24" s="153" t="s">
        <v>173</v>
      </c>
      <c r="I24" s="153" t="s">
        <v>133</v>
      </c>
      <c r="J24" s="172">
        <v>45728.0</v>
      </c>
      <c r="K24" s="153" t="s">
        <v>165</v>
      </c>
      <c r="L24" s="153" t="s">
        <v>133</v>
      </c>
      <c r="M24" s="172">
        <v>45759.0</v>
      </c>
      <c r="N24" s="153" t="s">
        <v>166</v>
      </c>
      <c r="O24" s="75"/>
      <c r="P24" s="10"/>
      <c r="Q24" s="121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53" t="s">
        <v>895</v>
      </c>
      <c r="B25" s="153" t="s">
        <v>896</v>
      </c>
      <c r="C25" s="171" t="s">
        <v>897</v>
      </c>
      <c r="D25" s="153" t="s">
        <v>898</v>
      </c>
      <c r="E25" s="189" t="s">
        <v>897</v>
      </c>
      <c r="F25" s="153" t="s">
        <v>133</v>
      </c>
      <c r="G25" s="172">
        <v>45700.0</v>
      </c>
      <c r="H25" s="153" t="s">
        <v>173</v>
      </c>
      <c r="I25" s="153" t="s">
        <v>133</v>
      </c>
      <c r="J25" s="172">
        <v>45728.0</v>
      </c>
      <c r="K25" s="153" t="s">
        <v>165</v>
      </c>
      <c r="L25" s="153" t="s">
        <v>133</v>
      </c>
      <c r="M25" s="172">
        <v>45759.0</v>
      </c>
      <c r="N25" s="153" t="s">
        <v>166</v>
      </c>
      <c r="O25" s="75"/>
      <c r="P25" s="10"/>
      <c r="Q25" s="121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53" t="s">
        <v>899</v>
      </c>
      <c r="B26" s="153" t="s">
        <v>900</v>
      </c>
      <c r="C26" s="171" t="s">
        <v>900</v>
      </c>
      <c r="D26" s="153" t="s">
        <v>901</v>
      </c>
      <c r="E26" s="189" t="s">
        <v>902</v>
      </c>
      <c r="F26" s="153" t="s">
        <v>133</v>
      </c>
      <c r="G26" s="172">
        <v>45700.0</v>
      </c>
      <c r="H26" s="153" t="s">
        <v>173</v>
      </c>
      <c r="I26" s="153" t="s">
        <v>133</v>
      </c>
      <c r="J26" s="172">
        <v>45728.0</v>
      </c>
      <c r="K26" s="153" t="s">
        <v>165</v>
      </c>
      <c r="L26" s="153" t="s">
        <v>133</v>
      </c>
      <c r="M26" s="172">
        <v>45759.0</v>
      </c>
      <c r="N26" s="153" t="s">
        <v>166</v>
      </c>
      <c r="O26" s="75"/>
      <c r="P26" s="10"/>
      <c r="Q26" s="121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53" t="s">
        <v>903</v>
      </c>
      <c r="B27" s="153" t="s">
        <v>904</v>
      </c>
      <c r="C27" s="171" t="s">
        <v>904</v>
      </c>
      <c r="D27" s="153" t="s">
        <v>905</v>
      </c>
      <c r="E27" s="189" t="s">
        <v>906</v>
      </c>
      <c r="F27" s="153" t="s">
        <v>133</v>
      </c>
      <c r="G27" s="172">
        <v>45700.0</v>
      </c>
      <c r="H27" s="153" t="s">
        <v>173</v>
      </c>
      <c r="I27" s="153" t="s">
        <v>133</v>
      </c>
      <c r="J27" s="172">
        <v>45728.0</v>
      </c>
      <c r="K27" s="153" t="s">
        <v>165</v>
      </c>
      <c r="L27" s="153" t="s">
        <v>133</v>
      </c>
      <c r="M27" s="172">
        <v>45759.0</v>
      </c>
      <c r="N27" s="153" t="s">
        <v>166</v>
      </c>
      <c r="O27" s="75"/>
      <c r="P27" s="10"/>
      <c r="Q27" s="121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53" t="s">
        <v>907</v>
      </c>
      <c r="B28" s="153" t="s">
        <v>908</v>
      </c>
      <c r="C28" s="171" t="s">
        <v>908</v>
      </c>
      <c r="D28" s="153" t="s">
        <v>909</v>
      </c>
      <c r="E28" s="189" t="s">
        <v>910</v>
      </c>
      <c r="F28" s="153" t="s">
        <v>133</v>
      </c>
      <c r="G28" s="172">
        <v>45700.0</v>
      </c>
      <c r="H28" s="153" t="s">
        <v>173</v>
      </c>
      <c r="I28" s="153" t="s">
        <v>133</v>
      </c>
      <c r="J28" s="172">
        <v>45728.0</v>
      </c>
      <c r="K28" s="153" t="s">
        <v>165</v>
      </c>
      <c r="L28" s="153" t="s">
        <v>133</v>
      </c>
      <c r="M28" s="172">
        <v>45759.0</v>
      </c>
      <c r="N28" s="153" t="s">
        <v>166</v>
      </c>
      <c r="O28" s="75"/>
      <c r="P28" s="10"/>
      <c r="Q28" s="121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53" t="s">
        <v>911</v>
      </c>
      <c r="B29" s="153" t="s">
        <v>912</v>
      </c>
      <c r="C29" s="171" t="s">
        <v>912</v>
      </c>
      <c r="D29" s="153" t="s">
        <v>913</v>
      </c>
      <c r="E29" s="189" t="s">
        <v>914</v>
      </c>
      <c r="F29" s="153" t="s">
        <v>133</v>
      </c>
      <c r="G29" s="172">
        <v>45700.0</v>
      </c>
      <c r="H29" s="153" t="s">
        <v>173</v>
      </c>
      <c r="I29" s="153" t="s">
        <v>133</v>
      </c>
      <c r="J29" s="172">
        <v>45728.0</v>
      </c>
      <c r="K29" s="153" t="s">
        <v>165</v>
      </c>
      <c r="L29" s="153" t="s">
        <v>133</v>
      </c>
      <c r="M29" s="172">
        <v>45759.0</v>
      </c>
      <c r="N29" s="153" t="s">
        <v>166</v>
      </c>
      <c r="O29" s="75"/>
      <c r="P29" s="10"/>
      <c r="Q29" s="121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53" t="s">
        <v>915</v>
      </c>
      <c r="B30" s="153" t="s">
        <v>916</v>
      </c>
      <c r="C30" s="171" t="s">
        <v>916</v>
      </c>
      <c r="D30" s="153" t="s">
        <v>917</v>
      </c>
      <c r="E30" s="189" t="s">
        <v>918</v>
      </c>
      <c r="F30" s="153" t="s">
        <v>133</v>
      </c>
      <c r="G30" s="172">
        <v>45700.0</v>
      </c>
      <c r="H30" s="153" t="s">
        <v>173</v>
      </c>
      <c r="I30" s="153" t="s">
        <v>133</v>
      </c>
      <c r="J30" s="172">
        <v>45728.0</v>
      </c>
      <c r="K30" s="153" t="s">
        <v>165</v>
      </c>
      <c r="L30" s="153" t="s">
        <v>133</v>
      </c>
      <c r="M30" s="172">
        <v>45759.0</v>
      </c>
      <c r="N30" s="153" t="s">
        <v>166</v>
      </c>
      <c r="O30" s="75"/>
      <c r="P30" s="10"/>
      <c r="Q30" s="121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53" t="s">
        <v>919</v>
      </c>
      <c r="B31" s="153" t="s">
        <v>920</v>
      </c>
      <c r="C31" s="171" t="s">
        <v>921</v>
      </c>
      <c r="D31" s="153" t="s">
        <v>922</v>
      </c>
      <c r="E31" s="189" t="s">
        <v>923</v>
      </c>
      <c r="F31" s="153" t="s">
        <v>133</v>
      </c>
      <c r="G31" s="172">
        <v>45700.0</v>
      </c>
      <c r="H31" s="153" t="s">
        <v>173</v>
      </c>
      <c r="I31" s="153" t="s">
        <v>133</v>
      </c>
      <c r="J31" s="172">
        <v>45728.0</v>
      </c>
      <c r="K31" s="153" t="s">
        <v>165</v>
      </c>
      <c r="L31" s="153" t="s">
        <v>133</v>
      </c>
      <c r="M31" s="172">
        <v>45759.0</v>
      </c>
      <c r="N31" s="153" t="s">
        <v>166</v>
      </c>
      <c r="O31" s="75"/>
      <c r="P31" s="10"/>
      <c r="Q31" s="121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53" t="s">
        <v>924</v>
      </c>
      <c r="B32" s="153" t="s">
        <v>925</v>
      </c>
      <c r="C32" s="171" t="s">
        <v>926</v>
      </c>
      <c r="D32" s="153" t="s">
        <v>927</v>
      </c>
      <c r="E32" s="189" t="s">
        <v>928</v>
      </c>
      <c r="F32" s="153" t="s">
        <v>133</v>
      </c>
      <c r="G32" s="172">
        <v>45700.0</v>
      </c>
      <c r="H32" s="153" t="s">
        <v>173</v>
      </c>
      <c r="I32" s="153" t="s">
        <v>133</v>
      </c>
      <c r="J32" s="172">
        <v>45728.0</v>
      </c>
      <c r="K32" s="153" t="s">
        <v>165</v>
      </c>
      <c r="L32" s="153" t="s">
        <v>133</v>
      </c>
      <c r="M32" s="172">
        <v>45759.0</v>
      </c>
      <c r="N32" s="153" t="s">
        <v>166</v>
      </c>
      <c r="O32" s="75"/>
      <c r="P32" s="10"/>
      <c r="Q32" s="121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1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1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1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1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1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1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1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1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1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1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1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1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1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1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1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1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1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1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1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1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1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1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1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1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1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1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1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1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1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1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1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1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1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1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1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1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1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1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1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1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1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1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1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1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1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1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1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1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1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1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1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1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1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1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1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1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1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1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1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1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1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1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1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1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1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1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1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1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1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1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1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1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1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1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1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1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1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1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1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1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1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1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1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1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1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1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1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1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1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1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1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1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1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1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1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1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1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1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1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1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1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1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1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1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1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1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1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1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1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1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1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1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1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1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1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1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1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1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1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1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1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1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1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1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1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1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1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1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1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1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1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1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1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1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1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1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1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1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1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1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1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1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1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1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1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1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1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1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1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1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1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1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1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1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1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1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1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1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1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1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1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1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1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1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1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1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1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1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1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1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1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1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1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1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1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1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1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1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1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1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1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1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1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1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1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1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1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1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1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1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1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1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1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1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1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1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1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1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1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1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1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1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1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1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1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1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1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1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1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1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1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1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1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1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1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1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1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1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1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1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1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1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1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1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1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1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1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1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1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1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1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1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1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1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1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1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1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1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1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1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1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1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1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1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1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1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1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1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1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1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1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1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1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1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1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1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1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1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1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1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1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1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1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1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1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1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1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1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1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1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1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1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1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1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1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1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1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1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1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1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1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1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1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1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1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1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1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1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1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1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1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1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1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1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1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1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1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1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1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1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1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1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1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1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1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1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1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1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1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1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1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1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1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1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1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1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1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1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1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1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1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1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1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1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1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1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1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1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1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1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1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1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1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1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1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1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1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1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1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1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1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1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1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1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1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1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1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1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1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1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1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1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1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1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1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1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1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1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1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1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1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1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1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1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1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1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1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1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1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1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1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1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1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1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1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1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1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1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1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1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1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1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1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1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1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1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1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1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1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1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1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1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1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1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1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1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1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1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1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1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1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1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1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1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1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1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1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1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1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1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1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1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1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1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1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1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1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1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1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1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1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1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1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1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1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1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1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1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1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1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1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1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1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1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1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1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1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1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1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1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1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1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1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1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1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1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1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1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1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1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1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1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1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1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1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1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1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1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1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1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1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1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1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1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1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1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1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1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1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1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1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1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1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1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1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1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1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1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1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1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1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1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1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1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1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1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1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1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1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1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1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1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1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1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1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1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1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1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1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1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1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1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1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1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1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1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1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1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1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1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1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1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1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1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1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1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1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1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1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1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1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1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1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1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1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1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1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1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1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1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1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1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1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1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1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1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1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1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1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1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1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1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1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1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1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1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1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1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1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1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1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1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1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1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1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1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1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1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1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1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1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1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1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1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1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1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1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1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1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1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1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1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1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1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1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1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1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1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1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1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1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1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1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1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1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1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1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1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1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1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1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1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1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1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1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1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1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1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1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1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1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1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1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1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1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1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1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1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1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1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1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1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1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1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1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1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1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1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1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1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1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1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1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1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1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1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1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1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1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1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1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1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1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1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1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1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1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1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1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1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1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1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1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1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1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1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1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1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1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1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1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1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1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1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1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1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1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1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1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1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1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1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1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1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1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1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1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1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1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1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1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1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1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1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1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1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1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1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1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1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1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1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1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1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1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1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1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1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1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1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1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1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1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1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1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1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1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1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1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1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1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1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1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1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1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1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1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1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1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1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1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1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1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1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1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1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1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1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1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1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1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1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1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1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1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1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1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1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1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1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1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1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1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1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1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1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1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1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1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1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1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1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1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1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21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21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21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21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21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21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21"/>
      <c r="R998" s="10"/>
      <c r="S998" s="10"/>
      <c r="T998" s="10"/>
      <c r="U998" s="10"/>
      <c r="V998" s="10"/>
      <c r="W998" s="10"/>
      <c r="X998" s="10"/>
      <c r="Y998" s="10"/>
      <c r="Z998" s="10"/>
    </row>
  </sheetData>
  <mergeCells count="4">
    <mergeCell ref="B2:E2"/>
    <mergeCell ref="B3:E3"/>
    <mergeCell ref="B4:E4"/>
    <mergeCell ref="A11:O11"/>
  </mergeCells>
  <dataValidations>
    <dataValidation type="list" allowBlank="1" showErrorMessage="1" sqref="G2:G3 J2:J3 M2:M3 G9 J9 M9 F12:F32 I12:I32 L12:L32 G33:G143 J33:J143 M33:M143">
      <formula1>$R$2:$R$5</formula1>
    </dataValidation>
  </dataValidations>
  <hyperlinks>
    <hyperlink r:id="rId1" ref="C23"/>
  </hyperlink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9.63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2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22" t="s">
        <v>145</v>
      </c>
      <c r="B2" s="123" t="s">
        <v>140</v>
      </c>
      <c r="C2" s="124"/>
      <c r="D2" s="124"/>
      <c r="E2" s="125"/>
      <c r="F2" s="126"/>
      <c r="G2" s="127"/>
      <c r="H2" s="50"/>
      <c r="I2" s="126"/>
      <c r="J2" s="127"/>
      <c r="K2" s="50"/>
      <c r="L2" s="126"/>
      <c r="M2" s="127"/>
      <c r="N2" s="50"/>
      <c r="O2" s="50"/>
      <c r="P2" s="50"/>
      <c r="Q2" s="128"/>
      <c r="R2" s="129" t="s">
        <v>133</v>
      </c>
      <c r="S2" s="129"/>
      <c r="T2" s="129"/>
      <c r="U2" s="129"/>
      <c r="V2" s="129"/>
      <c r="W2" s="129"/>
      <c r="X2" s="129"/>
      <c r="Y2" s="129"/>
      <c r="Z2" s="129"/>
    </row>
    <row r="3" ht="12.75" customHeight="1">
      <c r="A3" s="130" t="s">
        <v>146</v>
      </c>
      <c r="B3" s="131" t="s">
        <v>929</v>
      </c>
      <c r="C3" s="5"/>
      <c r="D3" s="5"/>
      <c r="E3" s="132"/>
      <c r="F3" s="126"/>
      <c r="G3" s="127"/>
      <c r="H3" s="50"/>
      <c r="I3" s="126"/>
      <c r="J3" s="127"/>
      <c r="K3" s="50"/>
      <c r="L3" s="126"/>
      <c r="M3" s="127"/>
      <c r="N3" s="50"/>
      <c r="O3" s="50"/>
      <c r="P3" s="50"/>
      <c r="Q3" s="128"/>
      <c r="R3" s="129" t="s">
        <v>134</v>
      </c>
      <c r="S3" s="129"/>
      <c r="T3" s="129"/>
      <c r="U3" s="129"/>
      <c r="V3" s="129"/>
      <c r="W3" s="129"/>
      <c r="X3" s="129"/>
      <c r="Y3" s="129"/>
      <c r="Z3" s="129"/>
    </row>
    <row r="4" ht="18.0" customHeight="1">
      <c r="A4" s="130" t="s">
        <v>147</v>
      </c>
      <c r="B4" s="133">
        <f>COUNTIF(A11:A303, "CC*")</f>
        <v>9</v>
      </c>
      <c r="C4" s="5"/>
      <c r="D4" s="5"/>
      <c r="E4" s="132"/>
      <c r="F4" s="126"/>
      <c r="G4" s="127"/>
      <c r="H4" s="50"/>
      <c r="I4" s="126"/>
      <c r="J4" s="127"/>
      <c r="K4" s="50"/>
      <c r="L4" s="126"/>
      <c r="M4" s="127"/>
      <c r="N4" s="50"/>
      <c r="O4" s="50"/>
      <c r="P4" s="50"/>
      <c r="Q4" s="128"/>
      <c r="R4" s="129" t="s">
        <v>135</v>
      </c>
      <c r="S4" s="129"/>
      <c r="T4" s="129"/>
      <c r="U4" s="129"/>
      <c r="V4" s="129"/>
      <c r="W4" s="129"/>
      <c r="X4" s="129"/>
      <c r="Y4" s="129"/>
      <c r="Z4" s="129"/>
    </row>
    <row r="5" ht="19.5" customHeight="1">
      <c r="A5" s="134" t="s">
        <v>148</v>
      </c>
      <c r="B5" s="135" t="s">
        <v>133</v>
      </c>
      <c r="C5" s="135" t="s">
        <v>134</v>
      </c>
      <c r="D5" s="135" t="s">
        <v>135</v>
      </c>
      <c r="E5" s="136" t="s">
        <v>136</v>
      </c>
      <c r="F5" s="137"/>
      <c r="G5" s="137"/>
      <c r="H5" s="138"/>
      <c r="I5" s="137"/>
      <c r="J5" s="137"/>
      <c r="K5" s="138"/>
      <c r="L5" s="137"/>
      <c r="M5" s="137"/>
      <c r="N5" s="138"/>
      <c r="O5" s="138"/>
      <c r="P5" s="138"/>
      <c r="Q5" s="139"/>
      <c r="R5" s="129" t="s">
        <v>136</v>
      </c>
      <c r="S5" s="129"/>
      <c r="T5" s="129"/>
      <c r="U5" s="129"/>
      <c r="V5" s="129"/>
      <c r="W5" s="129"/>
      <c r="X5" s="129"/>
      <c r="Y5" s="129"/>
      <c r="Z5" s="129"/>
    </row>
    <row r="6" ht="15.0" customHeight="1">
      <c r="A6" s="134" t="s">
        <v>149</v>
      </c>
      <c r="B6" s="140">
        <f t="shared" ref="B6:E6" si="1">COUNTIF($F10:$F982,B5)</f>
        <v>9</v>
      </c>
      <c r="C6" s="140">
        <f t="shared" si="1"/>
        <v>0</v>
      </c>
      <c r="D6" s="140">
        <f t="shared" si="1"/>
        <v>0</v>
      </c>
      <c r="E6" s="141">
        <f t="shared" si="1"/>
        <v>0</v>
      </c>
      <c r="F6" s="142"/>
      <c r="G6" s="142"/>
      <c r="H6" s="138"/>
      <c r="I6" s="142"/>
      <c r="J6" s="142"/>
      <c r="K6" s="138"/>
      <c r="L6" s="142"/>
      <c r="M6" s="142"/>
      <c r="N6" s="138"/>
      <c r="O6" s="138"/>
      <c r="P6" s="138"/>
      <c r="Q6" s="139"/>
      <c r="R6" s="129"/>
      <c r="S6" s="129"/>
      <c r="T6" s="129"/>
      <c r="U6" s="129"/>
      <c r="V6" s="129"/>
      <c r="W6" s="129"/>
      <c r="X6" s="129"/>
      <c r="Y6" s="129"/>
      <c r="Z6" s="129"/>
    </row>
    <row r="7" ht="15.0" customHeight="1">
      <c r="A7" s="134" t="s">
        <v>150</v>
      </c>
      <c r="B7" s="140">
        <f t="shared" ref="B7:E7" si="2">COUNTIF($F10:$F982,B5)</f>
        <v>9</v>
      </c>
      <c r="C7" s="140">
        <f t="shared" si="2"/>
        <v>0</v>
      </c>
      <c r="D7" s="140">
        <f t="shared" si="2"/>
        <v>0</v>
      </c>
      <c r="E7" s="141">
        <f t="shared" si="2"/>
        <v>0</v>
      </c>
      <c r="F7" s="142"/>
      <c r="G7" s="142"/>
      <c r="H7" s="138"/>
      <c r="I7" s="142"/>
      <c r="J7" s="142"/>
      <c r="K7" s="138"/>
      <c r="L7" s="142"/>
      <c r="M7" s="142"/>
      <c r="N7" s="138"/>
      <c r="O7" s="138"/>
      <c r="P7" s="138"/>
      <c r="Q7" s="139"/>
      <c r="R7" s="129"/>
      <c r="S7" s="129"/>
      <c r="T7" s="129"/>
      <c r="U7" s="129"/>
      <c r="V7" s="129"/>
      <c r="W7" s="129"/>
      <c r="X7" s="129"/>
      <c r="Y7" s="129"/>
      <c r="Z7" s="129"/>
    </row>
    <row r="8" ht="15.0" customHeight="1">
      <c r="A8" s="143" t="s">
        <v>151</v>
      </c>
      <c r="B8" s="144">
        <f t="shared" ref="B8:E8" si="3">COUNTIF($F10:$F982,B5)</f>
        <v>9</v>
      </c>
      <c r="C8" s="144">
        <f t="shared" si="3"/>
        <v>0</v>
      </c>
      <c r="D8" s="144">
        <f t="shared" si="3"/>
        <v>0</v>
      </c>
      <c r="E8" s="145">
        <f t="shared" si="3"/>
        <v>0</v>
      </c>
      <c r="F8" s="142"/>
      <c r="G8" s="142"/>
      <c r="H8" s="138"/>
      <c r="I8" s="142"/>
      <c r="J8" s="142"/>
      <c r="K8" s="138"/>
      <c r="L8" s="142"/>
      <c r="M8" s="142"/>
      <c r="N8" s="138"/>
      <c r="O8" s="138"/>
      <c r="P8" s="138"/>
      <c r="Q8" s="139"/>
      <c r="R8" s="129"/>
      <c r="S8" s="129"/>
      <c r="T8" s="129"/>
      <c r="U8" s="129"/>
      <c r="V8" s="129"/>
      <c r="W8" s="129"/>
      <c r="X8" s="129"/>
      <c r="Y8" s="129"/>
      <c r="Z8" s="129"/>
    </row>
    <row r="9" ht="15.0" customHeight="1">
      <c r="A9" s="138"/>
      <c r="B9" s="138"/>
      <c r="C9" s="138"/>
      <c r="D9" s="138"/>
      <c r="E9" s="138"/>
      <c r="F9" s="120"/>
      <c r="G9" s="138"/>
      <c r="H9" s="138"/>
      <c r="I9" s="120"/>
      <c r="J9" s="138"/>
      <c r="K9" s="138"/>
      <c r="L9" s="120"/>
      <c r="M9" s="138"/>
      <c r="N9" s="138"/>
      <c r="O9" s="138"/>
      <c r="P9" s="138"/>
      <c r="Q9" s="139"/>
      <c r="R9" s="129"/>
      <c r="S9" s="129"/>
      <c r="T9" s="129"/>
      <c r="U9" s="129"/>
      <c r="V9" s="129"/>
      <c r="W9" s="129"/>
      <c r="X9" s="129"/>
      <c r="Y9" s="129"/>
      <c r="Z9" s="129"/>
    </row>
    <row r="10" ht="25.5" customHeight="1">
      <c r="A10" s="146" t="s">
        <v>152</v>
      </c>
      <c r="B10" s="146" t="s">
        <v>153</v>
      </c>
      <c r="C10" s="146" t="s">
        <v>154</v>
      </c>
      <c r="D10" s="146" t="s">
        <v>155</v>
      </c>
      <c r="E10" s="146" t="s">
        <v>156</v>
      </c>
      <c r="F10" s="146" t="s">
        <v>149</v>
      </c>
      <c r="G10" s="146" t="s">
        <v>157</v>
      </c>
      <c r="H10" s="146" t="s">
        <v>158</v>
      </c>
      <c r="I10" s="146" t="s">
        <v>150</v>
      </c>
      <c r="J10" s="146" t="s">
        <v>157</v>
      </c>
      <c r="K10" s="146" t="s">
        <v>158</v>
      </c>
      <c r="L10" s="146" t="s">
        <v>151</v>
      </c>
      <c r="M10" s="146" t="s">
        <v>157</v>
      </c>
      <c r="N10" s="146" t="s">
        <v>158</v>
      </c>
      <c r="O10" s="146" t="s">
        <v>159</v>
      </c>
      <c r="P10" s="129"/>
      <c r="Q10" s="147"/>
      <c r="R10" s="129"/>
      <c r="S10" s="129"/>
      <c r="T10" s="129"/>
      <c r="U10" s="129"/>
      <c r="V10" s="129"/>
      <c r="W10" s="129"/>
      <c r="X10" s="129"/>
      <c r="Y10" s="129"/>
      <c r="Z10" s="129"/>
    </row>
    <row r="11" ht="15.75" customHeight="1">
      <c r="A11" s="211" t="s">
        <v>140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183"/>
      <c r="Q11" s="152"/>
      <c r="R11" s="129"/>
      <c r="S11" s="129"/>
      <c r="T11" s="129"/>
      <c r="U11" s="129"/>
      <c r="V11" s="129"/>
      <c r="W11" s="129"/>
      <c r="X11" s="129"/>
      <c r="Y11" s="129"/>
      <c r="Z11" s="129"/>
    </row>
    <row r="12" ht="12.75" customHeight="1">
      <c r="A12" s="153" t="s">
        <v>930</v>
      </c>
      <c r="B12" s="153" t="s">
        <v>931</v>
      </c>
      <c r="C12" s="171" t="s">
        <v>932</v>
      </c>
      <c r="D12" s="153" t="s">
        <v>933</v>
      </c>
      <c r="E12" s="153" t="s">
        <v>934</v>
      </c>
      <c r="F12" s="153" t="s">
        <v>133</v>
      </c>
      <c r="G12" s="172">
        <v>45700.0</v>
      </c>
      <c r="H12" s="153" t="s">
        <v>173</v>
      </c>
      <c r="I12" s="153" t="s">
        <v>133</v>
      </c>
      <c r="J12" s="172">
        <v>45728.0</v>
      </c>
      <c r="K12" s="153" t="s">
        <v>165</v>
      </c>
      <c r="L12" s="153" t="s">
        <v>133</v>
      </c>
      <c r="M12" s="172">
        <v>45728.0</v>
      </c>
      <c r="N12" s="153" t="s">
        <v>166</v>
      </c>
      <c r="O12" s="156"/>
      <c r="P12" s="68"/>
      <c r="Q12" s="121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53" t="s">
        <v>935</v>
      </c>
      <c r="B13" s="153" t="s">
        <v>936</v>
      </c>
      <c r="C13" s="171" t="s">
        <v>937</v>
      </c>
      <c r="D13" s="153" t="s">
        <v>938</v>
      </c>
      <c r="E13" s="153" t="s">
        <v>136</v>
      </c>
      <c r="F13" s="153" t="s">
        <v>133</v>
      </c>
      <c r="G13" s="172">
        <v>45700.0</v>
      </c>
      <c r="H13" s="153" t="s">
        <v>173</v>
      </c>
      <c r="I13" s="153" t="s">
        <v>133</v>
      </c>
      <c r="J13" s="172">
        <v>45728.0</v>
      </c>
      <c r="K13" s="153" t="s">
        <v>165</v>
      </c>
      <c r="L13" s="153" t="s">
        <v>133</v>
      </c>
      <c r="M13" s="172">
        <v>45728.0</v>
      </c>
      <c r="N13" s="153" t="s">
        <v>166</v>
      </c>
      <c r="O13" s="156"/>
      <c r="P13" s="68"/>
      <c r="Q13" s="121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53" t="s">
        <v>939</v>
      </c>
      <c r="B14" s="153" t="s">
        <v>940</v>
      </c>
      <c r="C14" s="171" t="s">
        <v>941</v>
      </c>
      <c r="D14" s="153" t="s">
        <v>942</v>
      </c>
      <c r="E14" s="153" t="s">
        <v>943</v>
      </c>
      <c r="F14" s="153" t="s">
        <v>133</v>
      </c>
      <c r="G14" s="172">
        <v>45700.0</v>
      </c>
      <c r="H14" s="153" t="s">
        <v>173</v>
      </c>
      <c r="I14" s="153" t="s">
        <v>133</v>
      </c>
      <c r="J14" s="172">
        <v>45728.0</v>
      </c>
      <c r="K14" s="153" t="s">
        <v>165</v>
      </c>
      <c r="L14" s="153" t="s">
        <v>133</v>
      </c>
      <c r="M14" s="172">
        <v>45728.0</v>
      </c>
      <c r="N14" s="153" t="s">
        <v>166</v>
      </c>
      <c r="O14" s="156"/>
      <c r="P14" s="68"/>
      <c r="Q14" s="121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53" t="s">
        <v>944</v>
      </c>
      <c r="B15" s="153" t="s">
        <v>945</v>
      </c>
      <c r="C15" s="171" t="s">
        <v>946</v>
      </c>
      <c r="D15" s="153" t="s">
        <v>947</v>
      </c>
      <c r="E15" s="153" t="s">
        <v>948</v>
      </c>
      <c r="F15" s="153" t="s">
        <v>133</v>
      </c>
      <c r="G15" s="172">
        <v>45700.0</v>
      </c>
      <c r="H15" s="153" t="s">
        <v>173</v>
      </c>
      <c r="I15" s="153" t="s">
        <v>133</v>
      </c>
      <c r="J15" s="172">
        <v>45728.0</v>
      </c>
      <c r="K15" s="153" t="s">
        <v>165</v>
      </c>
      <c r="L15" s="153" t="s">
        <v>133</v>
      </c>
      <c r="M15" s="172">
        <v>45728.0</v>
      </c>
      <c r="N15" s="153" t="s">
        <v>166</v>
      </c>
      <c r="O15" s="156"/>
      <c r="P15" s="68"/>
      <c r="Q15" s="121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53" t="s">
        <v>949</v>
      </c>
      <c r="B16" s="153" t="s">
        <v>950</v>
      </c>
      <c r="C16" s="171" t="s">
        <v>951</v>
      </c>
      <c r="D16" s="153" t="s">
        <v>952</v>
      </c>
      <c r="E16" s="153" t="s">
        <v>953</v>
      </c>
      <c r="F16" s="153" t="s">
        <v>133</v>
      </c>
      <c r="G16" s="172">
        <v>45700.0</v>
      </c>
      <c r="H16" s="153" t="s">
        <v>173</v>
      </c>
      <c r="I16" s="153" t="s">
        <v>133</v>
      </c>
      <c r="J16" s="172">
        <v>45728.0</v>
      </c>
      <c r="K16" s="153" t="s">
        <v>165</v>
      </c>
      <c r="L16" s="153" t="s">
        <v>133</v>
      </c>
      <c r="M16" s="172">
        <v>45728.0</v>
      </c>
      <c r="N16" s="153" t="s">
        <v>166</v>
      </c>
      <c r="O16" s="156"/>
      <c r="P16" s="68"/>
      <c r="Q16" s="121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53" t="s">
        <v>954</v>
      </c>
      <c r="B17" s="153" t="s">
        <v>955</v>
      </c>
      <c r="C17" s="171" t="s">
        <v>956</v>
      </c>
      <c r="D17" s="153" t="s">
        <v>957</v>
      </c>
      <c r="E17" s="153" t="s">
        <v>136</v>
      </c>
      <c r="F17" s="153" t="s">
        <v>133</v>
      </c>
      <c r="G17" s="172">
        <v>45700.0</v>
      </c>
      <c r="H17" s="153" t="s">
        <v>173</v>
      </c>
      <c r="I17" s="153" t="s">
        <v>133</v>
      </c>
      <c r="J17" s="172">
        <v>45728.0</v>
      </c>
      <c r="K17" s="153" t="s">
        <v>165</v>
      </c>
      <c r="L17" s="153" t="s">
        <v>133</v>
      </c>
      <c r="M17" s="172">
        <v>45728.0</v>
      </c>
      <c r="N17" s="153" t="s">
        <v>166</v>
      </c>
      <c r="O17" s="156"/>
      <c r="P17" s="68"/>
      <c r="Q17" s="121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53" t="s">
        <v>958</v>
      </c>
      <c r="B18" s="153" t="s">
        <v>959</v>
      </c>
      <c r="C18" s="171" t="s">
        <v>960</v>
      </c>
      <c r="D18" s="153" t="s">
        <v>961</v>
      </c>
      <c r="E18" s="153" t="s">
        <v>962</v>
      </c>
      <c r="F18" s="153" t="s">
        <v>133</v>
      </c>
      <c r="G18" s="172">
        <v>45700.0</v>
      </c>
      <c r="H18" s="153" t="s">
        <v>173</v>
      </c>
      <c r="I18" s="153" t="s">
        <v>133</v>
      </c>
      <c r="J18" s="172">
        <v>45728.0</v>
      </c>
      <c r="K18" s="153" t="s">
        <v>165</v>
      </c>
      <c r="L18" s="153" t="s">
        <v>133</v>
      </c>
      <c r="M18" s="172">
        <v>45759.0</v>
      </c>
      <c r="N18" s="153" t="s">
        <v>166</v>
      </c>
      <c r="O18" s="156"/>
      <c r="P18" s="68"/>
      <c r="Q18" s="121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53" t="s">
        <v>963</v>
      </c>
      <c r="B19" s="153" t="s">
        <v>964</v>
      </c>
      <c r="C19" s="171" t="s">
        <v>965</v>
      </c>
      <c r="D19" s="153" t="s">
        <v>966</v>
      </c>
      <c r="E19" s="153" t="s">
        <v>967</v>
      </c>
      <c r="F19" s="153" t="s">
        <v>133</v>
      </c>
      <c r="G19" s="172">
        <v>45700.0</v>
      </c>
      <c r="H19" s="153" t="s">
        <v>173</v>
      </c>
      <c r="I19" s="153" t="s">
        <v>133</v>
      </c>
      <c r="J19" s="172">
        <v>45728.0</v>
      </c>
      <c r="K19" s="153" t="s">
        <v>165</v>
      </c>
      <c r="L19" s="153" t="s">
        <v>133</v>
      </c>
      <c r="M19" s="172">
        <v>45759.0</v>
      </c>
      <c r="N19" s="153" t="s">
        <v>166</v>
      </c>
      <c r="O19" s="156"/>
      <c r="P19" s="68"/>
      <c r="Q19" s="121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53" t="s">
        <v>968</v>
      </c>
      <c r="B20" s="153" t="s">
        <v>969</v>
      </c>
      <c r="C20" s="171" t="s">
        <v>970</v>
      </c>
      <c r="D20" s="153" t="s">
        <v>971</v>
      </c>
      <c r="E20" s="153" t="s">
        <v>972</v>
      </c>
      <c r="F20" s="153" t="s">
        <v>133</v>
      </c>
      <c r="G20" s="172">
        <v>45700.0</v>
      </c>
      <c r="H20" s="153" t="s">
        <v>173</v>
      </c>
      <c r="I20" s="153" t="s">
        <v>133</v>
      </c>
      <c r="J20" s="172">
        <v>45728.0</v>
      </c>
      <c r="K20" s="153" t="s">
        <v>165</v>
      </c>
      <c r="L20" s="153" t="s">
        <v>133</v>
      </c>
      <c r="M20" s="172">
        <v>45759.0</v>
      </c>
      <c r="N20" s="153" t="s">
        <v>166</v>
      </c>
      <c r="O20" s="156"/>
      <c r="P20" s="68"/>
      <c r="Q20" s="121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21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21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21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21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21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1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1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1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1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1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1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1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1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1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1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1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1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1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1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1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1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1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1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1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1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1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1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1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1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1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1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1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1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1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1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1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1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1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1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1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1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1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1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1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1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1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1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1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1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1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1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1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1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1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1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1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1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1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1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1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1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1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1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1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1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1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1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1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1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1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1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1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1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1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1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1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1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1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1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1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1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1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1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1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1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1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1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1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1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1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1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1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1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1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1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1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1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1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1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1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1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1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1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1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1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1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1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1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1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1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1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1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1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1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1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1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1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1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1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1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1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1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1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1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1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1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1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1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1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1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1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1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1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1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1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1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1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1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1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1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1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1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1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1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1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1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1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1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1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1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1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1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1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1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1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1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1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1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1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1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1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1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1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1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1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1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1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1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1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1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1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1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1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1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1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1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1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1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1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1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1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1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1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1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1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1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1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1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1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1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1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1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1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1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1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1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1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1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1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1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1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1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1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1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1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1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1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1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1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1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1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1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1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1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1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1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1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1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1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1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1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1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1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1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1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1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1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1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1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1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1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1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1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1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1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1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1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1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1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1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1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1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1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1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1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1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1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1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1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1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1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1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1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1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1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1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1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1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1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1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1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1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1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1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1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1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1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1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1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1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1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1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1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1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1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1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1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1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1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1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1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1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1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1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1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1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1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1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1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1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1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1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1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1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1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1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1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1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1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1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1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1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1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1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1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1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1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1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1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1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1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1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1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1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1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1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1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1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1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1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1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1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1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1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1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1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1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1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1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1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1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1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1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1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1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1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1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1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1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1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1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1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1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1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1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1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1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1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1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1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1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1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1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1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1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1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1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1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1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1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1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1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1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1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1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1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1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1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1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1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1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1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1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1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1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1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1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1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1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1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1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1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1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1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1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1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1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1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1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1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1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1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1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1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1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1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1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1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1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1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1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1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1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1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1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1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1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1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1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1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1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1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1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1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1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1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1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1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1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1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1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1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1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1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1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1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1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1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1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1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1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1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1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1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1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1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1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1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1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1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1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1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1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1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1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1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1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1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1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1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1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1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1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1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1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1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1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1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1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1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1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1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1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1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1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1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1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1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1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1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1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1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1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1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1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1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1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1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1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1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1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1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1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1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1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1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1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1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1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1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1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1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1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1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1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1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1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1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1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1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1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1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1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1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1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1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1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1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1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1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1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1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1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1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1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1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1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1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1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1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1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1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1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1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1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1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1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1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1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1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1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1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1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1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1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1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1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1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1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1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1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1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1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1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1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1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1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1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1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1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1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1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1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1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1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1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1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1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1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1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1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1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1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1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1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1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1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1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1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1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1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1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1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1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1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1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1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1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1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1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1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1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1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1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1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1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1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1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1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1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1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1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1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1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1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1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1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1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1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1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1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1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1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1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1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1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1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1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1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1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1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1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1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1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1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1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1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1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1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1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1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1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1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1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1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1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1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1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1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1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1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1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1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1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1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1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1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1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1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1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1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1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1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1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1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1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1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1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1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1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1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1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1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1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1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1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1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1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1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1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1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1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1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1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1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1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1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1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1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1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1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1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1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1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1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1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1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1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1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1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1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1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1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1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1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1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1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1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1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1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1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1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1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1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1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1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1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1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1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1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1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1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1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1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1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1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1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1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1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1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1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1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1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1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1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1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1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1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1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1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1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1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1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1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1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1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1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1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1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1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1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1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1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1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1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1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1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1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1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1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1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1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1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1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1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1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1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1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1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1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1"/>
      <c r="R986" s="10"/>
      <c r="S986" s="10"/>
      <c r="T986" s="10"/>
      <c r="U986" s="10"/>
      <c r="V986" s="10"/>
      <c r="W986" s="10"/>
      <c r="X986" s="10"/>
      <c r="Y986" s="10"/>
      <c r="Z986" s="10"/>
    </row>
  </sheetData>
  <mergeCells count="4">
    <mergeCell ref="B2:E2"/>
    <mergeCell ref="B3:E3"/>
    <mergeCell ref="B4:E4"/>
    <mergeCell ref="A11:O11"/>
  </mergeCells>
  <dataValidations>
    <dataValidation type="list" allowBlank="1" showErrorMessage="1" sqref="G2:G3 J2:J3 M2:M3 G9 J9 M9 F12:F20 I12:I20 L12:L20 G21:G131 J21:J131 M21:M131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9.63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2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22" t="s">
        <v>145</v>
      </c>
      <c r="B2" s="123" t="s">
        <v>103</v>
      </c>
      <c r="C2" s="124"/>
      <c r="D2" s="124"/>
      <c r="E2" s="125"/>
      <c r="F2" s="126"/>
      <c r="G2" s="127"/>
      <c r="H2" s="50"/>
      <c r="I2" s="126"/>
      <c r="J2" s="127"/>
      <c r="K2" s="50"/>
      <c r="L2" s="126"/>
      <c r="M2" s="127"/>
      <c r="N2" s="50"/>
      <c r="O2" s="50"/>
      <c r="P2" s="50"/>
      <c r="Q2" s="128"/>
      <c r="R2" s="129" t="s">
        <v>133</v>
      </c>
      <c r="S2" s="129"/>
      <c r="T2" s="129"/>
      <c r="U2" s="129"/>
      <c r="V2" s="129"/>
      <c r="W2" s="129"/>
      <c r="X2" s="129"/>
      <c r="Y2" s="129"/>
      <c r="Z2" s="129"/>
    </row>
    <row r="3" ht="12.75" customHeight="1">
      <c r="A3" s="130" t="s">
        <v>146</v>
      </c>
      <c r="B3" s="131" t="s">
        <v>973</v>
      </c>
      <c r="C3" s="5"/>
      <c r="D3" s="5"/>
      <c r="E3" s="132"/>
      <c r="F3" s="126"/>
      <c r="G3" s="127"/>
      <c r="H3" s="50"/>
      <c r="I3" s="126"/>
      <c r="J3" s="127"/>
      <c r="K3" s="50"/>
      <c r="L3" s="126"/>
      <c r="M3" s="127"/>
      <c r="N3" s="50"/>
      <c r="O3" s="50"/>
      <c r="P3" s="50"/>
      <c r="Q3" s="128"/>
      <c r="R3" s="129" t="s">
        <v>134</v>
      </c>
      <c r="S3" s="129"/>
      <c r="T3" s="129"/>
      <c r="U3" s="129"/>
      <c r="V3" s="129"/>
      <c r="W3" s="129"/>
      <c r="X3" s="129"/>
      <c r="Y3" s="129"/>
      <c r="Z3" s="129"/>
    </row>
    <row r="4" ht="18.0" customHeight="1">
      <c r="A4" s="130" t="s">
        <v>147</v>
      </c>
      <c r="B4" s="133">
        <f>COUNTIF(A:A, "NOTI*")</f>
        <v>8</v>
      </c>
      <c r="C4" s="5"/>
      <c r="D4" s="5"/>
      <c r="E4" s="132"/>
      <c r="F4" s="126"/>
      <c r="G4" s="127"/>
      <c r="H4" s="50"/>
      <c r="I4" s="126"/>
      <c r="J4" s="127"/>
      <c r="K4" s="50"/>
      <c r="L4" s="126"/>
      <c r="M4" s="127"/>
      <c r="N4" s="50"/>
      <c r="O4" s="50"/>
      <c r="P4" s="50"/>
      <c r="Q4" s="128"/>
      <c r="R4" s="129" t="s">
        <v>135</v>
      </c>
      <c r="S4" s="129"/>
      <c r="T4" s="129"/>
      <c r="U4" s="129"/>
      <c r="V4" s="129"/>
      <c r="W4" s="129"/>
      <c r="X4" s="129"/>
      <c r="Y4" s="129"/>
      <c r="Z4" s="129"/>
    </row>
    <row r="5" ht="19.5" customHeight="1">
      <c r="A5" s="134" t="s">
        <v>148</v>
      </c>
      <c r="B5" s="135" t="s">
        <v>133</v>
      </c>
      <c r="C5" s="135" t="s">
        <v>134</v>
      </c>
      <c r="D5" s="135" t="s">
        <v>135</v>
      </c>
      <c r="E5" s="136" t="s">
        <v>136</v>
      </c>
      <c r="F5" s="137"/>
      <c r="G5" s="137"/>
      <c r="H5" s="138"/>
      <c r="I5" s="137"/>
      <c r="J5" s="137"/>
      <c r="K5" s="138"/>
      <c r="L5" s="137"/>
      <c r="M5" s="137"/>
      <c r="N5" s="138"/>
      <c r="O5" s="138"/>
      <c r="P5" s="138"/>
      <c r="Q5" s="139"/>
      <c r="R5" s="129" t="s">
        <v>136</v>
      </c>
      <c r="S5" s="129"/>
      <c r="T5" s="129"/>
      <c r="U5" s="129"/>
      <c r="V5" s="129"/>
      <c r="W5" s="129"/>
      <c r="X5" s="129"/>
      <c r="Y5" s="129"/>
      <c r="Z5" s="129"/>
    </row>
    <row r="6" ht="15.0" customHeight="1">
      <c r="A6" s="134" t="s">
        <v>149</v>
      </c>
      <c r="B6" s="168">
        <f>COUNTIF($F10:$F1002,B5)</f>
        <v>8</v>
      </c>
      <c r="C6" s="140">
        <f t="shared" ref="C6:E6" si="1">COUNTIF($F10:$F980,C5)</f>
        <v>0</v>
      </c>
      <c r="D6" s="140">
        <f t="shared" si="1"/>
        <v>0</v>
      </c>
      <c r="E6" s="141">
        <f t="shared" si="1"/>
        <v>0</v>
      </c>
      <c r="F6" s="142"/>
      <c r="G6" s="142"/>
      <c r="H6" s="138"/>
      <c r="I6" s="142"/>
      <c r="J6" s="142"/>
      <c r="K6" s="138"/>
      <c r="L6" s="142"/>
      <c r="M6" s="142"/>
      <c r="N6" s="138"/>
      <c r="O6" s="138"/>
      <c r="P6" s="138"/>
      <c r="Q6" s="139"/>
      <c r="R6" s="129"/>
      <c r="S6" s="129"/>
      <c r="T6" s="129"/>
      <c r="U6" s="129"/>
      <c r="V6" s="129"/>
      <c r="W6" s="129"/>
      <c r="X6" s="129"/>
      <c r="Y6" s="129"/>
      <c r="Z6" s="129"/>
    </row>
    <row r="7" ht="15.0" customHeight="1">
      <c r="A7" s="134" t="s">
        <v>150</v>
      </c>
      <c r="B7" s="168">
        <f t="shared" ref="B7:B8" si="3">COUNTIFS($L$10:$L984, "Passed", $B$10:$B984, "&lt;&gt;")</f>
        <v>8</v>
      </c>
      <c r="C7" s="140">
        <f t="shared" ref="C7:E7" si="2">COUNTIF($F10:$F980,C5)</f>
        <v>0</v>
      </c>
      <c r="D7" s="140">
        <f t="shared" si="2"/>
        <v>0</v>
      </c>
      <c r="E7" s="141">
        <f t="shared" si="2"/>
        <v>0</v>
      </c>
      <c r="F7" s="142"/>
      <c r="G7" s="142"/>
      <c r="H7" s="138"/>
      <c r="I7" s="142"/>
      <c r="J7" s="142"/>
      <c r="K7" s="138"/>
      <c r="L7" s="142"/>
      <c r="M7" s="142"/>
      <c r="N7" s="138"/>
      <c r="O7" s="138"/>
      <c r="P7" s="138"/>
      <c r="Q7" s="139"/>
      <c r="R7" s="129"/>
      <c r="S7" s="129"/>
      <c r="T7" s="129"/>
      <c r="U7" s="129"/>
      <c r="V7" s="129"/>
      <c r="W7" s="129"/>
      <c r="X7" s="129"/>
      <c r="Y7" s="129"/>
      <c r="Z7" s="129"/>
    </row>
    <row r="8" ht="15.0" customHeight="1">
      <c r="A8" s="143" t="s">
        <v>151</v>
      </c>
      <c r="B8" s="169">
        <f t="shared" si="3"/>
        <v>8</v>
      </c>
      <c r="C8" s="144">
        <f t="shared" ref="C8:E8" si="4">COUNTIF($F10:$F980,C5)</f>
        <v>0</v>
      </c>
      <c r="D8" s="144">
        <f t="shared" si="4"/>
        <v>0</v>
      </c>
      <c r="E8" s="145">
        <f t="shared" si="4"/>
        <v>0</v>
      </c>
      <c r="F8" s="142"/>
      <c r="G8" s="142"/>
      <c r="H8" s="138"/>
      <c r="I8" s="142"/>
      <c r="J8" s="142"/>
      <c r="K8" s="138"/>
      <c r="L8" s="142"/>
      <c r="M8" s="142"/>
      <c r="N8" s="138"/>
      <c r="O8" s="138"/>
      <c r="P8" s="138"/>
      <c r="Q8" s="139"/>
      <c r="R8" s="129"/>
      <c r="S8" s="129"/>
      <c r="T8" s="129"/>
      <c r="U8" s="129"/>
      <c r="V8" s="129"/>
      <c r="W8" s="129"/>
      <c r="X8" s="129"/>
      <c r="Y8" s="129"/>
      <c r="Z8" s="129"/>
    </row>
    <row r="9" ht="15.0" customHeight="1">
      <c r="A9" s="138"/>
      <c r="B9" s="138"/>
      <c r="C9" s="138"/>
      <c r="D9" s="138"/>
      <c r="E9" s="138"/>
      <c r="F9" s="120"/>
      <c r="G9" s="138"/>
      <c r="H9" s="138"/>
      <c r="I9" s="120"/>
      <c r="J9" s="138"/>
      <c r="K9" s="138"/>
      <c r="L9" s="120"/>
      <c r="M9" s="138"/>
      <c r="N9" s="138"/>
      <c r="O9" s="138"/>
      <c r="P9" s="138"/>
      <c r="Q9" s="139"/>
      <c r="R9" s="129"/>
      <c r="S9" s="129"/>
      <c r="T9" s="129"/>
      <c r="U9" s="129"/>
      <c r="V9" s="129"/>
      <c r="W9" s="129"/>
      <c r="X9" s="129"/>
      <c r="Y9" s="129"/>
      <c r="Z9" s="129"/>
    </row>
    <row r="10" ht="25.5" customHeight="1">
      <c r="A10" s="146" t="s">
        <v>152</v>
      </c>
      <c r="B10" s="146" t="s">
        <v>153</v>
      </c>
      <c r="C10" s="146" t="s">
        <v>154</v>
      </c>
      <c r="D10" s="146" t="s">
        <v>155</v>
      </c>
      <c r="E10" s="146" t="s">
        <v>156</v>
      </c>
      <c r="F10" s="146" t="s">
        <v>149</v>
      </c>
      <c r="G10" s="146" t="s">
        <v>157</v>
      </c>
      <c r="H10" s="146" t="s">
        <v>158</v>
      </c>
      <c r="I10" s="146" t="s">
        <v>150</v>
      </c>
      <c r="J10" s="146" t="s">
        <v>157</v>
      </c>
      <c r="K10" s="146" t="s">
        <v>158</v>
      </c>
      <c r="L10" s="146" t="s">
        <v>151</v>
      </c>
      <c r="M10" s="146" t="s">
        <v>157</v>
      </c>
      <c r="N10" s="146" t="s">
        <v>158</v>
      </c>
      <c r="O10" s="146" t="s">
        <v>159</v>
      </c>
      <c r="P10" s="129"/>
      <c r="Q10" s="147"/>
      <c r="R10" s="129"/>
      <c r="S10" s="129"/>
      <c r="T10" s="129"/>
      <c r="U10" s="129"/>
      <c r="V10" s="129"/>
      <c r="W10" s="129"/>
      <c r="X10" s="129"/>
      <c r="Y10" s="129"/>
      <c r="Z10" s="129"/>
    </row>
    <row r="11" ht="15.75" customHeight="1">
      <c r="A11" s="170" t="s">
        <v>974</v>
      </c>
      <c r="B11" s="170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</row>
    <row r="12" ht="43.5" customHeight="1" outlineLevel="1">
      <c r="A12" s="153" t="s">
        <v>975</v>
      </c>
      <c r="B12" s="153" t="s">
        <v>976</v>
      </c>
      <c r="C12" s="171" t="s">
        <v>977</v>
      </c>
      <c r="D12" s="153" t="s">
        <v>978</v>
      </c>
      <c r="E12" s="153" t="s">
        <v>979</v>
      </c>
      <c r="F12" s="153" t="s">
        <v>133</v>
      </c>
      <c r="G12" s="172">
        <v>45669.0</v>
      </c>
      <c r="H12" s="153" t="s">
        <v>173</v>
      </c>
      <c r="I12" s="153" t="s">
        <v>133</v>
      </c>
      <c r="J12" s="172">
        <v>45728.0</v>
      </c>
      <c r="K12" s="153" t="s">
        <v>165</v>
      </c>
      <c r="L12" s="153" t="s">
        <v>133</v>
      </c>
      <c r="M12" s="172">
        <v>45728.0</v>
      </c>
      <c r="N12" s="153" t="s">
        <v>166</v>
      </c>
      <c r="O12" s="156"/>
      <c r="P12" s="173"/>
      <c r="Q12" s="174"/>
      <c r="R12" s="175"/>
      <c r="S12" s="175"/>
      <c r="T12" s="175"/>
      <c r="U12" s="175"/>
      <c r="V12" s="175"/>
      <c r="W12" s="175"/>
      <c r="X12" s="175"/>
      <c r="Y12" s="175"/>
      <c r="Z12" s="175"/>
    </row>
    <row r="13" ht="43.5" customHeight="1" outlineLevel="1">
      <c r="A13" s="153" t="s">
        <v>980</v>
      </c>
      <c r="B13" s="153" t="s">
        <v>981</v>
      </c>
      <c r="C13" s="171" t="s">
        <v>982</v>
      </c>
      <c r="D13" s="153" t="s">
        <v>983</v>
      </c>
      <c r="E13" s="153" t="s">
        <v>984</v>
      </c>
      <c r="F13" s="153" t="s">
        <v>133</v>
      </c>
      <c r="G13" s="172">
        <v>45669.0</v>
      </c>
      <c r="H13" s="153" t="s">
        <v>173</v>
      </c>
      <c r="I13" s="153" t="s">
        <v>133</v>
      </c>
      <c r="J13" s="172">
        <v>45728.0</v>
      </c>
      <c r="K13" s="153" t="s">
        <v>165</v>
      </c>
      <c r="L13" s="153" t="s">
        <v>133</v>
      </c>
      <c r="M13" s="172">
        <v>45728.0</v>
      </c>
      <c r="N13" s="153" t="s">
        <v>166</v>
      </c>
      <c r="O13" s="156"/>
      <c r="P13" s="176"/>
      <c r="Q13" s="157"/>
      <c r="R13" s="177"/>
      <c r="S13" s="177"/>
      <c r="T13" s="177"/>
      <c r="U13" s="177"/>
      <c r="V13" s="177"/>
      <c r="W13" s="177"/>
      <c r="X13" s="177"/>
      <c r="Y13" s="177"/>
      <c r="Z13" s="177"/>
    </row>
    <row r="14" ht="51.75" customHeight="1" outlineLevel="1">
      <c r="A14" s="153" t="s">
        <v>985</v>
      </c>
      <c r="B14" s="153" t="s">
        <v>986</v>
      </c>
      <c r="C14" s="171" t="s">
        <v>987</v>
      </c>
      <c r="D14" s="153" t="s">
        <v>988</v>
      </c>
      <c r="E14" s="153" t="s">
        <v>989</v>
      </c>
      <c r="F14" s="153" t="s">
        <v>133</v>
      </c>
      <c r="G14" s="172">
        <v>45669.0</v>
      </c>
      <c r="H14" s="153" t="s">
        <v>173</v>
      </c>
      <c r="I14" s="153" t="s">
        <v>133</v>
      </c>
      <c r="J14" s="172">
        <v>45728.0</v>
      </c>
      <c r="K14" s="153" t="s">
        <v>165</v>
      </c>
      <c r="L14" s="153" t="s">
        <v>133</v>
      </c>
      <c r="M14" s="172">
        <v>45728.0</v>
      </c>
      <c r="N14" s="153" t="s">
        <v>166</v>
      </c>
      <c r="O14" s="156"/>
      <c r="P14" s="176"/>
      <c r="Q14" s="157"/>
      <c r="R14" s="177"/>
      <c r="S14" s="177"/>
      <c r="T14" s="177"/>
      <c r="U14" s="177"/>
      <c r="V14" s="177"/>
      <c r="W14" s="177"/>
      <c r="X14" s="177"/>
      <c r="Y14" s="177"/>
      <c r="Z14" s="177"/>
    </row>
    <row r="15" ht="43.5" customHeight="1" outlineLevel="1">
      <c r="A15" s="153" t="s">
        <v>990</v>
      </c>
      <c r="B15" s="153" t="s">
        <v>991</v>
      </c>
      <c r="C15" s="171" t="s">
        <v>992</v>
      </c>
      <c r="D15" s="153" t="s">
        <v>993</v>
      </c>
      <c r="E15" s="153" t="s">
        <v>136</v>
      </c>
      <c r="F15" s="153" t="s">
        <v>133</v>
      </c>
      <c r="G15" s="172">
        <v>45669.0</v>
      </c>
      <c r="H15" s="153" t="s">
        <v>173</v>
      </c>
      <c r="I15" s="153" t="s">
        <v>133</v>
      </c>
      <c r="J15" s="172">
        <v>45728.0</v>
      </c>
      <c r="K15" s="153" t="s">
        <v>165</v>
      </c>
      <c r="L15" s="153" t="s">
        <v>133</v>
      </c>
      <c r="M15" s="172">
        <v>45728.0</v>
      </c>
      <c r="N15" s="153" t="s">
        <v>166</v>
      </c>
      <c r="O15" s="156"/>
      <c r="P15" s="176"/>
      <c r="Q15" s="157"/>
      <c r="R15" s="177"/>
      <c r="S15" s="177"/>
      <c r="T15" s="177"/>
      <c r="U15" s="177"/>
      <c r="V15" s="177"/>
      <c r="W15" s="177"/>
      <c r="X15" s="177"/>
      <c r="Y15" s="177"/>
      <c r="Z15" s="177"/>
    </row>
    <row r="16" ht="43.5" customHeight="1" outlineLevel="1">
      <c r="A16" s="153" t="s">
        <v>994</v>
      </c>
      <c r="B16" s="153" t="s">
        <v>995</v>
      </c>
      <c r="C16" s="171" t="s">
        <v>996</v>
      </c>
      <c r="D16" s="153" t="s">
        <v>997</v>
      </c>
      <c r="E16" s="153" t="s">
        <v>998</v>
      </c>
      <c r="F16" s="153" t="s">
        <v>133</v>
      </c>
      <c r="G16" s="172">
        <v>45669.0</v>
      </c>
      <c r="H16" s="153" t="s">
        <v>173</v>
      </c>
      <c r="I16" s="153" t="s">
        <v>133</v>
      </c>
      <c r="J16" s="172">
        <v>45728.0</v>
      </c>
      <c r="K16" s="153" t="s">
        <v>165</v>
      </c>
      <c r="L16" s="153" t="s">
        <v>133</v>
      </c>
      <c r="M16" s="172">
        <v>45728.0</v>
      </c>
      <c r="N16" s="153" t="s">
        <v>166</v>
      </c>
      <c r="O16" s="156"/>
      <c r="P16" s="176"/>
      <c r="Q16" s="157"/>
      <c r="R16" s="177"/>
      <c r="S16" s="177"/>
      <c r="T16" s="177"/>
      <c r="U16" s="177"/>
      <c r="V16" s="177"/>
      <c r="W16" s="177"/>
      <c r="X16" s="177"/>
      <c r="Y16" s="177"/>
      <c r="Z16" s="177"/>
    </row>
    <row r="17" ht="43.5" customHeight="1" outlineLevel="1">
      <c r="A17" s="153" t="s">
        <v>999</v>
      </c>
      <c r="B17" s="153" t="s">
        <v>1000</v>
      </c>
      <c r="C17" s="171" t="s">
        <v>1001</v>
      </c>
      <c r="D17" s="153" t="s">
        <v>1002</v>
      </c>
      <c r="E17" s="153" t="s">
        <v>1003</v>
      </c>
      <c r="F17" s="153" t="s">
        <v>133</v>
      </c>
      <c r="G17" s="172">
        <v>45669.0</v>
      </c>
      <c r="H17" s="153" t="s">
        <v>173</v>
      </c>
      <c r="I17" s="153" t="s">
        <v>133</v>
      </c>
      <c r="J17" s="172">
        <v>45728.0</v>
      </c>
      <c r="K17" s="153" t="s">
        <v>165</v>
      </c>
      <c r="L17" s="153" t="s">
        <v>133</v>
      </c>
      <c r="M17" s="172">
        <v>45728.0</v>
      </c>
      <c r="N17" s="153" t="s">
        <v>166</v>
      </c>
      <c r="O17" s="156"/>
      <c r="P17" s="176"/>
      <c r="Q17" s="157"/>
      <c r="R17" s="177"/>
      <c r="S17" s="177"/>
      <c r="T17" s="177"/>
      <c r="U17" s="177"/>
      <c r="V17" s="177"/>
      <c r="W17" s="177"/>
      <c r="X17" s="177"/>
      <c r="Y17" s="177"/>
      <c r="Z17" s="177"/>
    </row>
    <row r="18" ht="43.5" customHeight="1" outlineLevel="1">
      <c r="A18" s="153" t="s">
        <v>1004</v>
      </c>
      <c r="B18" s="153" t="s">
        <v>1005</v>
      </c>
      <c r="C18" s="171" t="s">
        <v>1006</v>
      </c>
      <c r="D18" s="153" t="s">
        <v>1007</v>
      </c>
      <c r="E18" s="153" t="s">
        <v>1008</v>
      </c>
      <c r="F18" s="153" t="s">
        <v>133</v>
      </c>
      <c r="G18" s="172">
        <v>45669.0</v>
      </c>
      <c r="H18" s="153" t="s">
        <v>173</v>
      </c>
      <c r="I18" s="153" t="s">
        <v>133</v>
      </c>
      <c r="J18" s="172">
        <v>45728.0</v>
      </c>
      <c r="K18" s="153" t="s">
        <v>165</v>
      </c>
      <c r="L18" s="153" t="s">
        <v>133</v>
      </c>
      <c r="M18" s="172">
        <v>45728.0</v>
      </c>
      <c r="N18" s="153" t="s">
        <v>166</v>
      </c>
      <c r="O18" s="156"/>
      <c r="P18" s="176"/>
      <c r="Q18" s="157"/>
      <c r="R18" s="177"/>
      <c r="S18" s="177"/>
      <c r="T18" s="177"/>
      <c r="U18" s="177"/>
      <c r="V18" s="177"/>
      <c r="W18" s="177"/>
      <c r="X18" s="177"/>
      <c r="Y18" s="177"/>
      <c r="Z18" s="177"/>
    </row>
    <row r="19" ht="43.5" customHeight="1" outlineLevel="1">
      <c r="A19" s="153" t="s">
        <v>1009</v>
      </c>
      <c r="B19" s="153" t="s">
        <v>1010</v>
      </c>
      <c r="C19" s="171" t="s">
        <v>1011</v>
      </c>
      <c r="D19" s="153" t="s">
        <v>1012</v>
      </c>
      <c r="E19" s="153" t="s">
        <v>1013</v>
      </c>
      <c r="F19" s="153" t="s">
        <v>133</v>
      </c>
      <c r="G19" s="172">
        <v>45669.0</v>
      </c>
      <c r="H19" s="153" t="s">
        <v>173</v>
      </c>
      <c r="I19" s="153" t="s">
        <v>133</v>
      </c>
      <c r="J19" s="172">
        <v>45728.0</v>
      </c>
      <c r="K19" s="153" t="s">
        <v>165</v>
      </c>
      <c r="L19" s="153" t="s">
        <v>133</v>
      </c>
      <c r="M19" s="172">
        <v>45728.0</v>
      </c>
      <c r="N19" s="153" t="s">
        <v>166</v>
      </c>
      <c r="O19" s="156"/>
      <c r="P19" s="176"/>
      <c r="Q19" s="157"/>
      <c r="R19" s="177"/>
      <c r="S19" s="177"/>
      <c r="T19" s="177"/>
      <c r="U19" s="177"/>
      <c r="V19" s="177"/>
      <c r="W19" s="177"/>
      <c r="X19" s="177"/>
      <c r="Y19" s="177"/>
      <c r="Z19" s="177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21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21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21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21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21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21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1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1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1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1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1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1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1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1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1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1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1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1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1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1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1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1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1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1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1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1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1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1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1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1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1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1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1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1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1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1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1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1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1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1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1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1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1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1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1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1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1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1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1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1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1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1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1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1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1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1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1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1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1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1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1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1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1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1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1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1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1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1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1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1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1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1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1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1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1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1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1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1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1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1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1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1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1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1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1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1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1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1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1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1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1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1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1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1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1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1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1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1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1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1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1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1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1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1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1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1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1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1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1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1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1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1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1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1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1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1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1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1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1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1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1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1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1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1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1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1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1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1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1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1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1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1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1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1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1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1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1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1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1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1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1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1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1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1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1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1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1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1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1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1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1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1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1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1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1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1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1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1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1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1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1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1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1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1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1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1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1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1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1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1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1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1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1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1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1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1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1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1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1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1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1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1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1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1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1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1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1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1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1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1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1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1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1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1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1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1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1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1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1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1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1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1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1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1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1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1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1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1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1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1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1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1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1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1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1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1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1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1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1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1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1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1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1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1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1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1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1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1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1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1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1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1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1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1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1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1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1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1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1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1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1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1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1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1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1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1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1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1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1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1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1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1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1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1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1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1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1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1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1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1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1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1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1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1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1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1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1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1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1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1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1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1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1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1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1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1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1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1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1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1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1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1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1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1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1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1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1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1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1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1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1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1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1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1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1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1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1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1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1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1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1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1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1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1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1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1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1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1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1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1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1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1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1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1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1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1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1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1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1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1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1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1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1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1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1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1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1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1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1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1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1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1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1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1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1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1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1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1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1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1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1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1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1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1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1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1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1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1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1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1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1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1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1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1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1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1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1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1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1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1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1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1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1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1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1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1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1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1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1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1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1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1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1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1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1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1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1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1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1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1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1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1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1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1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1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1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1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1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1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1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1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1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1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1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1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1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1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1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1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1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1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1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1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1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1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1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1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1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1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1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1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1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1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1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1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1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1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1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1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1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1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1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1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1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1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1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1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1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1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1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1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1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1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1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1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1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1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1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1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1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1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1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1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1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1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1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1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1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1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1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1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1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1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1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1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1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1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1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1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1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1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1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1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1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1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1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1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1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1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1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1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1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1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1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1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1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1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1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1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1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1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1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1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1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1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1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1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1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1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1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1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1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1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1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1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1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1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1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1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1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1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1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1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1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1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1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1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1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1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1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1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1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1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1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1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1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1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1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1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1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1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1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1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1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1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1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1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1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1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1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1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1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1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1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1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1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1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1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1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1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1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1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1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1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1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1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1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1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1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1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1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1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1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1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1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1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1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1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1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1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1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1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1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1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1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1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1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1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1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1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1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1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1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1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1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1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1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1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1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1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1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1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1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1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1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1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1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1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1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1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1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1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1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1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1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1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1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1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1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1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1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1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1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1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1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1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1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1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1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1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1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1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1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1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1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1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1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1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1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1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1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1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1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1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1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1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1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1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1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1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1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1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1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1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1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1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1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1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1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1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1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1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1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1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1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1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1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1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1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1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1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1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1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1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1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1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1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1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1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1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1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1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1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1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1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1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1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1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1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1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1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1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1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1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1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1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1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1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1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1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1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1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1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1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1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1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1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1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1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1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1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1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1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1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1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1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1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1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1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1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1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1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1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1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1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1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1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1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1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1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1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1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1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1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1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1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1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1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1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1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1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1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1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1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1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1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1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1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1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1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1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1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1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1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1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1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1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1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1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1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1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1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1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1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1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1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1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1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1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1"/>
      <c r="R984" s="10"/>
      <c r="S984" s="10"/>
      <c r="T984" s="10"/>
      <c r="U984" s="10"/>
      <c r="V984" s="10"/>
      <c r="W984" s="10"/>
      <c r="X984" s="10"/>
      <c r="Y984" s="10"/>
      <c r="Z984" s="1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9 I12:I19 L12:L19 G20:G129 J20:J129 M20:M129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9.63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2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22" t="s">
        <v>145</v>
      </c>
      <c r="B2" s="123" t="s">
        <v>138</v>
      </c>
      <c r="C2" s="124"/>
      <c r="D2" s="124"/>
      <c r="E2" s="125"/>
      <c r="F2" s="126"/>
      <c r="G2" s="127"/>
      <c r="H2" s="50"/>
      <c r="I2" s="126"/>
      <c r="J2" s="127"/>
      <c r="K2" s="50"/>
      <c r="L2" s="126"/>
      <c r="M2" s="127"/>
      <c r="N2" s="50"/>
      <c r="O2" s="50"/>
      <c r="P2" s="50"/>
      <c r="Q2" s="128"/>
      <c r="R2" s="129" t="s">
        <v>133</v>
      </c>
      <c r="S2" s="129"/>
      <c r="T2" s="129"/>
      <c r="U2" s="129"/>
      <c r="V2" s="129"/>
      <c r="W2" s="129"/>
      <c r="X2" s="129"/>
      <c r="Y2" s="129"/>
      <c r="Z2" s="129"/>
    </row>
    <row r="3" ht="12.75" customHeight="1">
      <c r="A3" s="130" t="s">
        <v>146</v>
      </c>
      <c r="B3" s="131" t="s">
        <v>1014</v>
      </c>
      <c r="C3" s="5"/>
      <c r="D3" s="5"/>
      <c r="E3" s="132"/>
      <c r="F3" s="126"/>
      <c r="G3" s="127"/>
      <c r="H3" s="50"/>
      <c r="I3" s="126"/>
      <c r="J3" s="127"/>
      <c r="K3" s="50"/>
      <c r="L3" s="126"/>
      <c r="M3" s="127"/>
      <c r="N3" s="50"/>
      <c r="O3" s="50"/>
      <c r="P3" s="50"/>
      <c r="Q3" s="128"/>
      <c r="R3" s="129" t="s">
        <v>134</v>
      </c>
      <c r="S3" s="129"/>
      <c r="T3" s="129"/>
      <c r="U3" s="129"/>
      <c r="V3" s="129"/>
      <c r="W3" s="129"/>
      <c r="X3" s="129"/>
      <c r="Y3" s="129"/>
      <c r="Z3" s="129"/>
    </row>
    <row r="4" ht="18.0" customHeight="1">
      <c r="A4" s="130" t="s">
        <v>147</v>
      </c>
      <c r="B4" s="133">
        <f>COUNTIF(A:A, "SC*")</f>
        <v>6</v>
      </c>
      <c r="C4" s="5"/>
      <c r="D4" s="5"/>
      <c r="E4" s="132"/>
      <c r="F4" s="126"/>
      <c r="G4" s="127"/>
      <c r="H4" s="50"/>
      <c r="I4" s="126"/>
      <c r="J4" s="127"/>
      <c r="K4" s="50"/>
      <c r="L4" s="126"/>
      <c r="M4" s="127"/>
      <c r="N4" s="50"/>
      <c r="O4" s="50"/>
      <c r="P4" s="50"/>
      <c r="Q4" s="128"/>
      <c r="R4" s="129" t="s">
        <v>135</v>
      </c>
      <c r="S4" s="129"/>
      <c r="T4" s="129"/>
      <c r="U4" s="129"/>
      <c r="V4" s="129"/>
      <c r="W4" s="129"/>
      <c r="X4" s="129"/>
      <c r="Y4" s="129"/>
      <c r="Z4" s="129"/>
    </row>
    <row r="5" ht="19.5" customHeight="1">
      <c r="A5" s="134" t="s">
        <v>148</v>
      </c>
      <c r="B5" s="135" t="s">
        <v>133</v>
      </c>
      <c r="C5" s="135" t="s">
        <v>134</v>
      </c>
      <c r="D5" s="135" t="s">
        <v>135</v>
      </c>
      <c r="E5" s="136" t="s">
        <v>136</v>
      </c>
      <c r="F5" s="137"/>
      <c r="G5" s="137"/>
      <c r="H5" s="138"/>
      <c r="I5" s="137"/>
      <c r="J5" s="137"/>
      <c r="K5" s="138"/>
      <c r="L5" s="137"/>
      <c r="M5" s="137"/>
      <c r="N5" s="138"/>
      <c r="O5" s="138"/>
      <c r="P5" s="138"/>
      <c r="Q5" s="139"/>
      <c r="R5" s="129" t="s">
        <v>136</v>
      </c>
      <c r="S5" s="129"/>
      <c r="T5" s="129"/>
      <c r="U5" s="129"/>
      <c r="V5" s="129"/>
      <c r="W5" s="129"/>
      <c r="X5" s="129"/>
      <c r="Y5" s="129"/>
      <c r="Z5" s="129"/>
    </row>
    <row r="6" ht="15.0" customHeight="1">
      <c r="A6" s="134" t="s">
        <v>149</v>
      </c>
      <c r="B6" s="168">
        <f>COUNTIF($F10:$F1000,B5)</f>
        <v>6</v>
      </c>
      <c r="C6" s="140">
        <f t="shared" ref="C6:E6" si="1">COUNTIF($F10:$F978,C5)</f>
        <v>0</v>
      </c>
      <c r="D6" s="140">
        <f t="shared" si="1"/>
        <v>0</v>
      </c>
      <c r="E6" s="141">
        <f t="shared" si="1"/>
        <v>0</v>
      </c>
      <c r="F6" s="142"/>
      <c r="G6" s="142"/>
      <c r="H6" s="138"/>
      <c r="I6" s="142"/>
      <c r="J6" s="142"/>
      <c r="K6" s="138"/>
      <c r="L6" s="142"/>
      <c r="M6" s="142"/>
      <c r="N6" s="138"/>
      <c r="O6" s="138"/>
      <c r="P6" s="138"/>
      <c r="Q6" s="139"/>
      <c r="R6" s="129"/>
      <c r="S6" s="129"/>
      <c r="T6" s="129"/>
      <c r="U6" s="129"/>
      <c r="V6" s="129"/>
      <c r="W6" s="129"/>
      <c r="X6" s="129"/>
      <c r="Y6" s="129"/>
      <c r="Z6" s="129"/>
    </row>
    <row r="7" ht="15.0" customHeight="1">
      <c r="A7" s="134" t="s">
        <v>150</v>
      </c>
      <c r="B7" s="168">
        <f t="shared" ref="B7:B8" si="3">COUNTIFS($L$10:$L982, "Passed", $B$10:$B982, "&lt;&gt;")</f>
        <v>6</v>
      </c>
      <c r="C7" s="140">
        <f t="shared" ref="C7:E7" si="2">COUNTIF($F10:$F978,C5)</f>
        <v>0</v>
      </c>
      <c r="D7" s="140">
        <f t="shared" si="2"/>
        <v>0</v>
      </c>
      <c r="E7" s="141">
        <f t="shared" si="2"/>
        <v>0</v>
      </c>
      <c r="F7" s="142"/>
      <c r="G7" s="142"/>
      <c r="H7" s="138"/>
      <c r="I7" s="142"/>
      <c r="J7" s="142"/>
      <c r="K7" s="138"/>
      <c r="L7" s="142"/>
      <c r="M7" s="142"/>
      <c r="N7" s="138"/>
      <c r="O7" s="138"/>
      <c r="P7" s="138"/>
      <c r="Q7" s="139"/>
      <c r="R7" s="129"/>
      <c r="S7" s="129"/>
      <c r="T7" s="129"/>
      <c r="U7" s="129"/>
      <c r="V7" s="129"/>
      <c r="W7" s="129"/>
      <c r="X7" s="129"/>
      <c r="Y7" s="129"/>
      <c r="Z7" s="129"/>
    </row>
    <row r="8" ht="15.0" customHeight="1">
      <c r="A8" s="143" t="s">
        <v>151</v>
      </c>
      <c r="B8" s="169">
        <f t="shared" si="3"/>
        <v>6</v>
      </c>
      <c r="C8" s="144">
        <f t="shared" ref="C8:E8" si="4">COUNTIF($F10:$F978,C5)</f>
        <v>0</v>
      </c>
      <c r="D8" s="144">
        <f t="shared" si="4"/>
        <v>0</v>
      </c>
      <c r="E8" s="145">
        <f t="shared" si="4"/>
        <v>0</v>
      </c>
      <c r="F8" s="142"/>
      <c r="G8" s="142"/>
      <c r="H8" s="138"/>
      <c r="I8" s="142"/>
      <c r="J8" s="142"/>
      <c r="K8" s="138"/>
      <c r="L8" s="142"/>
      <c r="M8" s="142"/>
      <c r="N8" s="138"/>
      <c r="O8" s="138"/>
      <c r="P8" s="138"/>
      <c r="Q8" s="139"/>
      <c r="R8" s="129"/>
      <c r="S8" s="129"/>
      <c r="T8" s="129"/>
      <c r="U8" s="129"/>
      <c r="V8" s="129"/>
      <c r="W8" s="129"/>
      <c r="X8" s="129"/>
      <c r="Y8" s="129"/>
      <c r="Z8" s="129"/>
    </row>
    <row r="9" ht="15.0" customHeight="1">
      <c r="A9" s="138"/>
      <c r="B9" s="138"/>
      <c r="C9" s="138"/>
      <c r="D9" s="138"/>
      <c r="E9" s="138"/>
      <c r="F9" s="120"/>
      <c r="G9" s="138"/>
      <c r="H9" s="138"/>
      <c r="I9" s="120"/>
      <c r="J9" s="138"/>
      <c r="K9" s="138"/>
      <c r="L9" s="120"/>
      <c r="M9" s="138"/>
      <c r="N9" s="138"/>
      <c r="O9" s="138"/>
      <c r="P9" s="138"/>
      <c r="Q9" s="139"/>
      <c r="R9" s="129"/>
      <c r="S9" s="129"/>
      <c r="T9" s="129"/>
      <c r="U9" s="129"/>
      <c r="V9" s="129"/>
      <c r="W9" s="129"/>
      <c r="X9" s="129"/>
      <c r="Y9" s="129"/>
      <c r="Z9" s="129"/>
    </row>
    <row r="10" ht="25.5" customHeight="1">
      <c r="A10" s="146" t="s">
        <v>152</v>
      </c>
      <c r="B10" s="146" t="s">
        <v>153</v>
      </c>
      <c r="C10" s="146" t="s">
        <v>154</v>
      </c>
      <c r="D10" s="146" t="s">
        <v>155</v>
      </c>
      <c r="E10" s="146" t="s">
        <v>156</v>
      </c>
      <c r="F10" s="146" t="s">
        <v>149</v>
      </c>
      <c r="G10" s="146" t="s">
        <v>157</v>
      </c>
      <c r="H10" s="146" t="s">
        <v>158</v>
      </c>
      <c r="I10" s="146" t="s">
        <v>150</v>
      </c>
      <c r="J10" s="146" t="s">
        <v>157</v>
      </c>
      <c r="K10" s="146" t="s">
        <v>158</v>
      </c>
      <c r="L10" s="146" t="s">
        <v>151</v>
      </c>
      <c r="M10" s="146" t="s">
        <v>157</v>
      </c>
      <c r="N10" s="146" t="s">
        <v>158</v>
      </c>
      <c r="O10" s="146" t="s">
        <v>159</v>
      </c>
      <c r="P10" s="129"/>
      <c r="Q10" s="147"/>
      <c r="R10" s="129"/>
      <c r="S10" s="129"/>
      <c r="T10" s="129"/>
      <c r="U10" s="129"/>
      <c r="V10" s="129"/>
      <c r="W10" s="129"/>
      <c r="X10" s="129"/>
      <c r="Y10" s="129"/>
      <c r="Z10" s="129"/>
    </row>
    <row r="11" ht="15.75" customHeight="1">
      <c r="A11" s="170" t="s">
        <v>1015</v>
      </c>
      <c r="B11" s="170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</row>
    <row r="12" ht="43.5" customHeight="1" outlineLevel="1">
      <c r="A12" s="153" t="s">
        <v>1016</v>
      </c>
      <c r="B12" s="153" t="s">
        <v>1017</v>
      </c>
      <c r="C12" s="171" t="s">
        <v>1018</v>
      </c>
      <c r="D12" s="153" t="s">
        <v>1019</v>
      </c>
      <c r="E12" s="153" t="s">
        <v>934</v>
      </c>
      <c r="F12" s="153" t="s">
        <v>133</v>
      </c>
      <c r="G12" s="172">
        <v>45669.0</v>
      </c>
      <c r="H12" s="153" t="s">
        <v>4</v>
      </c>
      <c r="I12" s="153" t="s">
        <v>133</v>
      </c>
      <c r="J12" s="172">
        <v>45728.0</v>
      </c>
      <c r="K12" s="153" t="s">
        <v>165</v>
      </c>
      <c r="L12" s="153" t="s">
        <v>133</v>
      </c>
      <c r="M12" s="172">
        <v>45728.0</v>
      </c>
      <c r="N12" s="153" t="s">
        <v>166</v>
      </c>
      <c r="O12" s="156"/>
      <c r="P12" s="173"/>
      <c r="Q12" s="174"/>
      <c r="R12" s="175"/>
      <c r="S12" s="175"/>
      <c r="T12" s="175"/>
      <c r="U12" s="175"/>
      <c r="V12" s="175"/>
      <c r="W12" s="175"/>
      <c r="X12" s="175"/>
      <c r="Y12" s="175"/>
      <c r="Z12" s="175"/>
    </row>
    <row r="13" ht="43.5" customHeight="1" outlineLevel="1">
      <c r="A13" s="153" t="s">
        <v>1020</v>
      </c>
      <c r="B13" s="153" t="s">
        <v>1021</v>
      </c>
      <c r="C13" s="171" t="s">
        <v>1022</v>
      </c>
      <c r="D13" s="153" t="s">
        <v>1023</v>
      </c>
      <c r="E13" s="153" t="s">
        <v>1024</v>
      </c>
      <c r="F13" s="153" t="s">
        <v>133</v>
      </c>
      <c r="G13" s="172">
        <v>45669.0</v>
      </c>
      <c r="H13" s="153" t="s">
        <v>4</v>
      </c>
      <c r="I13" s="153" t="s">
        <v>133</v>
      </c>
      <c r="J13" s="172">
        <v>45728.0</v>
      </c>
      <c r="K13" s="153" t="s">
        <v>165</v>
      </c>
      <c r="L13" s="153" t="s">
        <v>133</v>
      </c>
      <c r="M13" s="172">
        <v>45728.0</v>
      </c>
      <c r="N13" s="153" t="s">
        <v>166</v>
      </c>
      <c r="O13" s="156"/>
      <c r="P13" s="176"/>
      <c r="Q13" s="157"/>
      <c r="R13" s="177"/>
      <c r="S13" s="177"/>
      <c r="T13" s="177"/>
      <c r="U13" s="177"/>
      <c r="V13" s="177"/>
      <c r="W13" s="177"/>
      <c r="X13" s="177"/>
      <c r="Y13" s="177"/>
      <c r="Z13" s="177"/>
    </row>
    <row r="14" ht="43.5" customHeight="1" outlineLevel="1">
      <c r="A14" s="153" t="s">
        <v>1025</v>
      </c>
      <c r="B14" s="153" t="s">
        <v>1026</v>
      </c>
      <c r="C14" s="171" t="s">
        <v>1027</v>
      </c>
      <c r="D14" s="153" t="s">
        <v>1028</v>
      </c>
      <c r="E14" s="153" t="s">
        <v>1024</v>
      </c>
      <c r="F14" s="153" t="s">
        <v>133</v>
      </c>
      <c r="G14" s="172">
        <v>45669.0</v>
      </c>
      <c r="H14" s="153" t="s">
        <v>4</v>
      </c>
      <c r="I14" s="153" t="s">
        <v>133</v>
      </c>
      <c r="J14" s="172">
        <v>45728.0</v>
      </c>
      <c r="K14" s="153" t="s">
        <v>165</v>
      </c>
      <c r="L14" s="153" t="s">
        <v>133</v>
      </c>
      <c r="M14" s="172">
        <v>45728.0</v>
      </c>
      <c r="N14" s="153" t="s">
        <v>166</v>
      </c>
      <c r="O14" s="156"/>
      <c r="P14" s="176"/>
      <c r="Q14" s="157"/>
      <c r="R14" s="177"/>
      <c r="S14" s="177"/>
      <c r="T14" s="177"/>
      <c r="U14" s="177"/>
      <c r="V14" s="177"/>
      <c r="W14" s="177"/>
      <c r="X14" s="177"/>
      <c r="Y14" s="177"/>
      <c r="Z14" s="177"/>
    </row>
    <row r="15" ht="43.5" customHeight="1" outlineLevel="1">
      <c r="A15" s="153" t="s">
        <v>1029</v>
      </c>
      <c r="B15" s="153" t="s">
        <v>955</v>
      </c>
      <c r="C15" s="171" t="s">
        <v>1030</v>
      </c>
      <c r="D15" s="153" t="s">
        <v>1031</v>
      </c>
      <c r="E15" s="153" t="s">
        <v>136</v>
      </c>
      <c r="F15" s="153" t="s">
        <v>133</v>
      </c>
      <c r="G15" s="172">
        <v>45669.0</v>
      </c>
      <c r="H15" s="153" t="s">
        <v>4</v>
      </c>
      <c r="I15" s="153" t="s">
        <v>133</v>
      </c>
      <c r="J15" s="172">
        <v>45728.0</v>
      </c>
      <c r="K15" s="153" t="s">
        <v>165</v>
      </c>
      <c r="L15" s="153" t="s">
        <v>133</v>
      </c>
      <c r="M15" s="172">
        <v>45728.0</v>
      </c>
      <c r="N15" s="153" t="s">
        <v>166</v>
      </c>
      <c r="O15" s="156"/>
      <c r="P15" s="176"/>
      <c r="Q15" s="157"/>
      <c r="R15" s="177"/>
      <c r="S15" s="177"/>
      <c r="T15" s="177"/>
      <c r="U15" s="177"/>
      <c r="V15" s="177"/>
      <c r="W15" s="177"/>
      <c r="X15" s="177"/>
      <c r="Y15" s="177"/>
      <c r="Z15" s="177"/>
    </row>
    <row r="16" ht="43.5" customHeight="1" outlineLevel="1">
      <c r="A16" s="153" t="s">
        <v>1032</v>
      </c>
      <c r="B16" s="153" t="s">
        <v>1033</v>
      </c>
      <c r="C16" s="171" t="s">
        <v>1034</v>
      </c>
      <c r="D16" s="153" t="s">
        <v>1035</v>
      </c>
      <c r="E16" s="153" t="s">
        <v>1036</v>
      </c>
      <c r="F16" s="153" t="s">
        <v>133</v>
      </c>
      <c r="G16" s="172">
        <v>45669.0</v>
      </c>
      <c r="H16" s="153" t="s">
        <v>4</v>
      </c>
      <c r="I16" s="153" t="s">
        <v>133</v>
      </c>
      <c r="J16" s="172">
        <v>45728.0</v>
      </c>
      <c r="K16" s="153" t="s">
        <v>165</v>
      </c>
      <c r="L16" s="153" t="s">
        <v>133</v>
      </c>
      <c r="M16" s="172">
        <v>45728.0</v>
      </c>
      <c r="N16" s="153" t="s">
        <v>166</v>
      </c>
      <c r="O16" s="156"/>
      <c r="P16" s="176"/>
      <c r="Q16" s="157"/>
      <c r="R16" s="177"/>
      <c r="S16" s="177"/>
      <c r="T16" s="177"/>
      <c r="U16" s="177"/>
      <c r="V16" s="177"/>
      <c r="W16" s="177"/>
      <c r="X16" s="177"/>
      <c r="Y16" s="177"/>
      <c r="Z16" s="177"/>
    </row>
    <row r="17" ht="43.5" customHeight="1" outlineLevel="1">
      <c r="A17" s="153" t="s">
        <v>1037</v>
      </c>
      <c r="B17" s="153" t="s">
        <v>1038</v>
      </c>
      <c r="C17" s="171" t="s">
        <v>1039</v>
      </c>
      <c r="D17" s="153" t="s">
        <v>1040</v>
      </c>
      <c r="E17" s="153" t="s">
        <v>1041</v>
      </c>
      <c r="F17" s="153" t="s">
        <v>133</v>
      </c>
      <c r="G17" s="172">
        <v>45669.0</v>
      </c>
      <c r="H17" s="153" t="s">
        <v>4</v>
      </c>
      <c r="I17" s="153" t="s">
        <v>133</v>
      </c>
      <c r="J17" s="172">
        <v>45728.0</v>
      </c>
      <c r="K17" s="153" t="s">
        <v>165</v>
      </c>
      <c r="L17" s="153" t="s">
        <v>133</v>
      </c>
      <c r="M17" s="172">
        <v>45728.0</v>
      </c>
      <c r="N17" s="153" t="s">
        <v>166</v>
      </c>
      <c r="O17" s="156"/>
      <c r="P17" s="176"/>
      <c r="Q17" s="157"/>
      <c r="R17" s="177"/>
      <c r="S17" s="177"/>
      <c r="T17" s="177"/>
      <c r="U17" s="177"/>
      <c r="V17" s="177"/>
      <c r="W17" s="177"/>
      <c r="X17" s="177"/>
      <c r="Y17" s="177"/>
      <c r="Z17" s="177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21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21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21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21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21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21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21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21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1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1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1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1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1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1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1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1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1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1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1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1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1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1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1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1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1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1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1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1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1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1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1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1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1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1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1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1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1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1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1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1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1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1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1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1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1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1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1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1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1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1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1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1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1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1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1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1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1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1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1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1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1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1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1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1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1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1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1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1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1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1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1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1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1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1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1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1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1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1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1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1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1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1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1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1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1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1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1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1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1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1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1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1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1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1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1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1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1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1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1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1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1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1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1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1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1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1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1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1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1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1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1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1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1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1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1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1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1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1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1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1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1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1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1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1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1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1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1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1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1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1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1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1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1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1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1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1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1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1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1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1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1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1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1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1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1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1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1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1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1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1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1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1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1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1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1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1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1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1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1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1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1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1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1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1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1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1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1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1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1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1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1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1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1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1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1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1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1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1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1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1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1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1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1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1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1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1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1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1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1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1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1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1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1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1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1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1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1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1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1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1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1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1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1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1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1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1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1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1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1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1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1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1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1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1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1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1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1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1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1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1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1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1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1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1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1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1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1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1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1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1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1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1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1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1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1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1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1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1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1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1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1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1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1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1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1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1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1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1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1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1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1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1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1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1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1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1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1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1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1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1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1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1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1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1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1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1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1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1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1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1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1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1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1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1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1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1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1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1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1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1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1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1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1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1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1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1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1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1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1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1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1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1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1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1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1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1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1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1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1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1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1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1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1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1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1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1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1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1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1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1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1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1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1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1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1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1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1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1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1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1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1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1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1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1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1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1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1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1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1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1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1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1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1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1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1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1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1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1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1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1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1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1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1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1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1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1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1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1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1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1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1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1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1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1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1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1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1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1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1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1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1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1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1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1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1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1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1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1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1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1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1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1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1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1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1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1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1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1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1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1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1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1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1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1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1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1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1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1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1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1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1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1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1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1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1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1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1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1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1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1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1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1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1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1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1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1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1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1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1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1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1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1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1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1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1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1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1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1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1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1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1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1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1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1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1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1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1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1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1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1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1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1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1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1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1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1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1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1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1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1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1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1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1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1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1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1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1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1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1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1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1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1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1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1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1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1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1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1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1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1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1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1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1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1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1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1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1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1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1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1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1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1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1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1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1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1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1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1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1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1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1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1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1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1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1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1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1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1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1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1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1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1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1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1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1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1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1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1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1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1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1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1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1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1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1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1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1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1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1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1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1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1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1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1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1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1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1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1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1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1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1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1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1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1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1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1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1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1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1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1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1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1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1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1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1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1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1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1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1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1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1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1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1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1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1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1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1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1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1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1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1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1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1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1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1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1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1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1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1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1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1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1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1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1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1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1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1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1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1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1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1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1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1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1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1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1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1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1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1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1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1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1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1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1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1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1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1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1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1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1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1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1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1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1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1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1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1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1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1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1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1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1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1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1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1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1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1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1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1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1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1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1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1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1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1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1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1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1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1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1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1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1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1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1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1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1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1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1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1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1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1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1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1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1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1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1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1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1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1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1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1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1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1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1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1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1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1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1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1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1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1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1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1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1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1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1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1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1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1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1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1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1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1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1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1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1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1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1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1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1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1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1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1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1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1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1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1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1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1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1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1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1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1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1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1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1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1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1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1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1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1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1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1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1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1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1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1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1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1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1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1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1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1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1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1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1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1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1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1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1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1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1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1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1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1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1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1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1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1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1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1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1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1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1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1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1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1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1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1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1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1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1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1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1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1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1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1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1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1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1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1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1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1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1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1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1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1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1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1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1"/>
      <c r="R982" s="10"/>
      <c r="S982" s="10"/>
      <c r="T982" s="10"/>
      <c r="U982" s="10"/>
      <c r="V982" s="10"/>
      <c r="W982" s="10"/>
      <c r="X982" s="10"/>
      <c r="Y982" s="10"/>
      <c r="Z982" s="1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7 I12:I17 L12:L17 G18:G127 J18:J127 M18:M127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9.63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2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22" t="s">
        <v>145</v>
      </c>
      <c r="B2" s="123" t="s">
        <v>139</v>
      </c>
      <c r="C2" s="124"/>
      <c r="D2" s="124"/>
      <c r="E2" s="125"/>
      <c r="F2" s="126"/>
      <c r="G2" s="127"/>
      <c r="H2" s="50"/>
      <c r="I2" s="126"/>
      <c r="J2" s="127"/>
      <c r="K2" s="50"/>
      <c r="L2" s="126"/>
      <c r="M2" s="127"/>
      <c r="N2" s="50"/>
      <c r="O2" s="50"/>
      <c r="P2" s="50"/>
      <c r="Q2" s="128"/>
      <c r="R2" s="129" t="s">
        <v>133</v>
      </c>
      <c r="S2" s="129"/>
      <c r="T2" s="129"/>
      <c r="U2" s="129"/>
      <c r="V2" s="129"/>
      <c r="W2" s="129"/>
      <c r="X2" s="129"/>
      <c r="Y2" s="129"/>
      <c r="Z2" s="129"/>
    </row>
    <row r="3" ht="12.75" customHeight="1">
      <c r="A3" s="130" t="s">
        <v>146</v>
      </c>
      <c r="B3" s="131" t="s">
        <v>1042</v>
      </c>
      <c r="C3" s="5"/>
      <c r="D3" s="5"/>
      <c r="E3" s="132"/>
      <c r="F3" s="126"/>
      <c r="G3" s="127"/>
      <c r="H3" s="50"/>
      <c r="I3" s="126"/>
      <c r="J3" s="127"/>
      <c r="K3" s="50"/>
      <c r="L3" s="126"/>
      <c r="M3" s="127"/>
      <c r="N3" s="50"/>
      <c r="O3" s="50"/>
      <c r="P3" s="50"/>
      <c r="Q3" s="128"/>
      <c r="R3" s="129" t="s">
        <v>134</v>
      </c>
      <c r="S3" s="129"/>
      <c r="T3" s="129"/>
      <c r="U3" s="129"/>
      <c r="V3" s="129"/>
      <c r="W3" s="129"/>
      <c r="X3" s="129"/>
      <c r="Y3" s="129"/>
      <c r="Z3" s="129"/>
    </row>
    <row r="4" ht="18.0" customHeight="1">
      <c r="A4" s="130" t="s">
        <v>147</v>
      </c>
      <c r="B4" s="133">
        <f>COUNTIF(A:A, "EP*")</f>
        <v>12</v>
      </c>
      <c r="C4" s="5"/>
      <c r="D4" s="5"/>
      <c r="E4" s="132"/>
      <c r="F4" s="126"/>
      <c r="G4" s="127"/>
      <c r="H4" s="50"/>
      <c r="I4" s="126"/>
      <c r="J4" s="127"/>
      <c r="K4" s="50"/>
      <c r="L4" s="126"/>
      <c r="M4" s="127"/>
      <c r="N4" s="50"/>
      <c r="O4" s="50"/>
      <c r="P4" s="50"/>
      <c r="Q4" s="128"/>
      <c r="R4" s="129" t="s">
        <v>135</v>
      </c>
      <c r="S4" s="129"/>
      <c r="T4" s="129"/>
      <c r="U4" s="129"/>
      <c r="V4" s="129"/>
      <c r="W4" s="129"/>
      <c r="X4" s="129"/>
      <c r="Y4" s="129"/>
      <c r="Z4" s="129"/>
    </row>
    <row r="5" ht="19.5" customHeight="1">
      <c r="A5" s="134" t="s">
        <v>148</v>
      </c>
      <c r="B5" s="135" t="s">
        <v>133</v>
      </c>
      <c r="C5" s="135" t="s">
        <v>134</v>
      </c>
      <c r="D5" s="135" t="s">
        <v>135</v>
      </c>
      <c r="E5" s="136" t="s">
        <v>136</v>
      </c>
      <c r="F5" s="137"/>
      <c r="G5" s="137"/>
      <c r="H5" s="138"/>
      <c r="I5" s="137"/>
      <c r="J5" s="137"/>
      <c r="K5" s="138"/>
      <c r="L5" s="137"/>
      <c r="M5" s="137"/>
      <c r="N5" s="138"/>
      <c r="O5" s="138"/>
      <c r="P5" s="138"/>
      <c r="Q5" s="139"/>
      <c r="R5" s="129" t="s">
        <v>136</v>
      </c>
      <c r="S5" s="129"/>
      <c r="T5" s="129"/>
      <c r="U5" s="129"/>
      <c r="V5" s="129"/>
      <c r="W5" s="129"/>
      <c r="X5" s="129"/>
      <c r="Y5" s="129"/>
      <c r="Z5" s="129"/>
    </row>
    <row r="6" ht="15.0" customHeight="1">
      <c r="A6" s="134" t="s">
        <v>149</v>
      </c>
      <c r="B6" s="168">
        <f>COUNTIF($F10:$F1002,B5)</f>
        <v>12</v>
      </c>
      <c r="C6" s="140">
        <f t="shared" ref="C6:E6" si="1">COUNTIF($F10:$F980,C5)</f>
        <v>0</v>
      </c>
      <c r="D6" s="140">
        <f t="shared" si="1"/>
        <v>0</v>
      </c>
      <c r="E6" s="141">
        <f t="shared" si="1"/>
        <v>0</v>
      </c>
      <c r="F6" s="142"/>
      <c r="G6" s="142"/>
      <c r="H6" s="138"/>
      <c r="I6" s="142"/>
      <c r="J6" s="142"/>
      <c r="K6" s="138"/>
      <c r="L6" s="142"/>
      <c r="M6" s="142"/>
      <c r="N6" s="138"/>
      <c r="O6" s="138"/>
      <c r="P6" s="138"/>
      <c r="Q6" s="139"/>
      <c r="R6" s="129"/>
      <c r="S6" s="129"/>
      <c r="T6" s="129"/>
      <c r="U6" s="129"/>
      <c r="V6" s="129"/>
      <c r="W6" s="129"/>
      <c r="X6" s="129"/>
      <c r="Y6" s="129"/>
      <c r="Z6" s="129"/>
    </row>
    <row r="7" ht="15.0" customHeight="1">
      <c r="A7" s="134" t="s">
        <v>150</v>
      </c>
      <c r="B7" s="168">
        <f t="shared" ref="B7:B8" si="3">COUNTIFS($L$10:$L984, "Passed", $B$10:$B984, "&lt;&gt;")</f>
        <v>12</v>
      </c>
      <c r="C7" s="140">
        <f t="shared" ref="C7:E7" si="2">COUNTIF($F10:$F980,C5)</f>
        <v>0</v>
      </c>
      <c r="D7" s="140">
        <f t="shared" si="2"/>
        <v>0</v>
      </c>
      <c r="E7" s="141">
        <f t="shared" si="2"/>
        <v>0</v>
      </c>
      <c r="F7" s="142"/>
      <c r="G7" s="142"/>
      <c r="H7" s="138"/>
      <c r="I7" s="142"/>
      <c r="J7" s="142"/>
      <c r="K7" s="138"/>
      <c r="L7" s="142"/>
      <c r="M7" s="142"/>
      <c r="N7" s="138"/>
      <c r="O7" s="138"/>
      <c r="P7" s="138"/>
      <c r="Q7" s="139"/>
      <c r="R7" s="129"/>
      <c r="S7" s="129"/>
      <c r="T7" s="129"/>
      <c r="U7" s="129"/>
      <c r="V7" s="129"/>
      <c r="W7" s="129"/>
      <c r="X7" s="129"/>
      <c r="Y7" s="129"/>
      <c r="Z7" s="129"/>
    </row>
    <row r="8" ht="15.0" customHeight="1">
      <c r="A8" s="143" t="s">
        <v>151</v>
      </c>
      <c r="B8" s="169">
        <f t="shared" si="3"/>
        <v>12</v>
      </c>
      <c r="C8" s="144">
        <f t="shared" ref="C8:E8" si="4">COUNTIF($F10:$F980,C5)</f>
        <v>0</v>
      </c>
      <c r="D8" s="144">
        <f t="shared" si="4"/>
        <v>0</v>
      </c>
      <c r="E8" s="145">
        <f t="shared" si="4"/>
        <v>0</v>
      </c>
      <c r="F8" s="142"/>
      <c r="G8" s="142"/>
      <c r="H8" s="138"/>
      <c r="I8" s="142"/>
      <c r="J8" s="142"/>
      <c r="K8" s="138"/>
      <c r="L8" s="142"/>
      <c r="M8" s="142"/>
      <c r="N8" s="138"/>
      <c r="O8" s="138"/>
      <c r="P8" s="138"/>
      <c r="Q8" s="139"/>
      <c r="R8" s="129"/>
      <c r="S8" s="129"/>
      <c r="T8" s="129"/>
      <c r="U8" s="129"/>
      <c r="V8" s="129"/>
      <c r="W8" s="129"/>
      <c r="X8" s="129"/>
      <c r="Y8" s="129"/>
      <c r="Z8" s="129"/>
    </row>
    <row r="9" ht="15.0" customHeight="1">
      <c r="A9" s="138"/>
      <c r="B9" s="138"/>
      <c r="C9" s="138"/>
      <c r="D9" s="138"/>
      <c r="E9" s="138"/>
      <c r="F9" s="120"/>
      <c r="G9" s="138"/>
      <c r="H9" s="138"/>
      <c r="I9" s="120"/>
      <c r="J9" s="138"/>
      <c r="K9" s="138"/>
      <c r="L9" s="120"/>
      <c r="M9" s="138"/>
      <c r="N9" s="138"/>
      <c r="O9" s="138"/>
      <c r="P9" s="138"/>
      <c r="Q9" s="139"/>
      <c r="R9" s="129"/>
      <c r="S9" s="129"/>
      <c r="T9" s="129"/>
      <c r="U9" s="129"/>
      <c r="V9" s="129"/>
      <c r="W9" s="129"/>
      <c r="X9" s="129"/>
      <c r="Y9" s="129"/>
      <c r="Z9" s="129"/>
    </row>
    <row r="10" ht="25.5" customHeight="1">
      <c r="A10" s="146" t="s">
        <v>152</v>
      </c>
      <c r="B10" s="146" t="s">
        <v>153</v>
      </c>
      <c r="C10" s="146" t="s">
        <v>154</v>
      </c>
      <c r="D10" s="146" t="s">
        <v>155</v>
      </c>
      <c r="E10" s="146" t="s">
        <v>156</v>
      </c>
      <c r="F10" s="146" t="s">
        <v>149</v>
      </c>
      <c r="G10" s="146" t="s">
        <v>157</v>
      </c>
      <c r="H10" s="146" t="s">
        <v>158</v>
      </c>
      <c r="I10" s="146" t="s">
        <v>150</v>
      </c>
      <c r="J10" s="146" t="s">
        <v>157</v>
      </c>
      <c r="K10" s="146" t="s">
        <v>158</v>
      </c>
      <c r="L10" s="146" t="s">
        <v>151</v>
      </c>
      <c r="M10" s="146" t="s">
        <v>157</v>
      </c>
      <c r="N10" s="146" t="s">
        <v>158</v>
      </c>
      <c r="O10" s="146" t="s">
        <v>159</v>
      </c>
      <c r="P10" s="129"/>
      <c r="Q10" s="147"/>
      <c r="R10" s="129"/>
      <c r="S10" s="129"/>
      <c r="T10" s="129"/>
      <c r="U10" s="129"/>
      <c r="V10" s="129"/>
      <c r="W10" s="129"/>
      <c r="X10" s="129"/>
      <c r="Y10" s="129"/>
      <c r="Z10" s="129"/>
    </row>
    <row r="11" ht="15.75" customHeight="1">
      <c r="A11" s="211" t="s">
        <v>139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</row>
    <row r="12" ht="59.25" customHeight="1" outlineLevel="1">
      <c r="A12" s="153" t="s">
        <v>1043</v>
      </c>
      <c r="B12" s="153" t="s">
        <v>1044</v>
      </c>
      <c r="C12" s="171" t="s">
        <v>1045</v>
      </c>
      <c r="D12" s="153" t="s">
        <v>1046</v>
      </c>
      <c r="E12" s="153" t="s">
        <v>934</v>
      </c>
      <c r="F12" s="153" t="s">
        <v>133</v>
      </c>
      <c r="G12" s="172">
        <v>45669.0</v>
      </c>
      <c r="H12" s="153" t="s">
        <v>173</v>
      </c>
      <c r="I12" s="153" t="s">
        <v>133</v>
      </c>
      <c r="J12" s="172">
        <v>45728.0</v>
      </c>
      <c r="K12" s="153" t="s">
        <v>165</v>
      </c>
      <c r="L12" s="153" t="s">
        <v>133</v>
      </c>
      <c r="M12" s="172">
        <v>45728.0</v>
      </c>
      <c r="N12" s="153" t="s">
        <v>166</v>
      </c>
      <c r="O12" s="156"/>
      <c r="P12" s="173"/>
      <c r="Q12" s="174"/>
      <c r="R12" s="175"/>
      <c r="S12" s="175"/>
      <c r="T12" s="175"/>
      <c r="U12" s="175"/>
      <c r="V12" s="175"/>
      <c r="W12" s="175"/>
      <c r="X12" s="175"/>
      <c r="Y12" s="175"/>
      <c r="Z12" s="175"/>
    </row>
    <row r="13" ht="43.5" customHeight="1" outlineLevel="1">
      <c r="A13" s="153" t="s">
        <v>1047</v>
      </c>
      <c r="B13" s="153" t="s">
        <v>1048</v>
      </c>
      <c r="C13" s="171" t="s">
        <v>1049</v>
      </c>
      <c r="D13" s="153" t="s">
        <v>1050</v>
      </c>
      <c r="E13" s="153" t="s">
        <v>1051</v>
      </c>
      <c r="F13" s="153" t="s">
        <v>133</v>
      </c>
      <c r="G13" s="172">
        <v>45669.0</v>
      </c>
      <c r="H13" s="153" t="s">
        <v>173</v>
      </c>
      <c r="I13" s="153" t="s">
        <v>133</v>
      </c>
      <c r="J13" s="172">
        <v>45728.0</v>
      </c>
      <c r="K13" s="153" t="s">
        <v>165</v>
      </c>
      <c r="L13" s="153" t="s">
        <v>133</v>
      </c>
      <c r="M13" s="172">
        <v>45728.0</v>
      </c>
      <c r="N13" s="153" t="s">
        <v>166</v>
      </c>
      <c r="O13" s="156"/>
      <c r="P13" s="176"/>
      <c r="Q13" s="157"/>
      <c r="R13" s="177"/>
      <c r="S13" s="177"/>
      <c r="T13" s="177"/>
      <c r="U13" s="177"/>
      <c r="V13" s="177"/>
      <c r="W13" s="177"/>
      <c r="X13" s="177"/>
      <c r="Y13" s="177"/>
      <c r="Z13" s="177"/>
    </row>
    <row r="14" ht="43.5" customHeight="1" outlineLevel="1">
      <c r="A14" s="153" t="s">
        <v>1052</v>
      </c>
      <c r="B14" s="153" t="s">
        <v>1053</v>
      </c>
      <c r="C14" s="171" t="s">
        <v>1054</v>
      </c>
      <c r="D14" s="153" t="s">
        <v>1055</v>
      </c>
      <c r="E14" s="153" t="s">
        <v>1056</v>
      </c>
      <c r="F14" s="153" t="s">
        <v>133</v>
      </c>
      <c r="G14" s="172">
        <v>45669.0</v>
      </c>
      <c r="H14" s="153" t="s">
        <v>173</v>
      </c>
      <c r="I14" s="153" t="s">
        <v>133</v>
      </c>
      <c r="J14" s="172">
        <v>45728.0</v>
      </c>
      <c r="K14" s="153" t="s">
        <v>165</v>
      </c>
      <c r="L14" s="153" t="s">
        <v>133</v>
      </c>
      <c r="M14" s="172">
        <v>45728.0</v>
      </c>
      <c r="N14" s="153" t="s">
        <v>166</v>
      </c>
      <c r="O14" s="156"/>
      <c r="P14" s="176"/>
      <c r="Q14" s="157"/>
      <c r="R14" s="177"/>
      <c r="S14" s="177"/>
      <c r="T14" s="177"/>
      <c r="U14" s="177"/>
      <c r="V14" s="177"/>
      <c r="W14" s="177"/>
      <c r="X14" s="177"/>
      <c r="Y14" s="177"/>
      <c r="Z14" s="177"/>
    </row>
    <row r="15" ht="43.5" customHeight="1" outlineLevel="1">
      <c r="A15" s="153" t="s">
        <v>1057</v>
      </c>
      <c r="B15" s="153" t="s">
        <v>1058</v>
      </c>
      <c r="C15" s="171" t="s">
        <v>1059</v>
      </c>
      <c r="D15" s="153" t="s">
        <v>1060</v>
      </c>
      <c r="E15" s="153" t="s">
        <v>1061</v>
      </c>
      <c r="F15" s="153" t="s">
        <v>133</v>
      </c>
      <c r="G15" s="172">
        <v>45669.0</v>
      </c>
      <c r="H15" s="153" t="s">
        <v>173</v>
      </c>
      <c r="I15" s="153" t="s">
        <v>133</v>
      </c>
      <c r="J15" s="172">
        <v>45728.0</v>
      </c>
      <c r="K15" s="153" t="s">
        <v>165</v>
      </c>
      <c r="L15" s="153" t="s">
        <v>133</v>
      </c>
      <c r="M15" s="172">
        <v>45728.0</v>
      </c>
      <c r="N15" s="153" t="s">
        <v>166</v>
      </c>
      <c r="O15" s="156"/>
      <c r="P15" s="176"/>
      <c r="Q15" s="157"/>
      <c r="R15" s="177"/>
      <c r="S15" s="177"/>
      <c r="T15" s="177"/>
      <c r="U15" s="177"/>
      <c r="V15" s="177"/>
      <c r="W15" s="177"/>
      <c r="X15" s="177"/>
      <c r="Y15" s="177"/>
      <c r="Z15" s="177"/>
    </row>
    <row r="16" ht="43.5" customHeight="1" outlineLevel="1">
      <c r="A16" s="153" t="s">
        <v>1062</v>
      </c>
      <c r="B16" s="153" t="s">
        <v>1063</v>
      </c>
      <c r="C16" s="171" t="s">
        <v>1064</v>
      </c>
      <c r="D16" s="153" t="s">
        <v>1065</v>
      </c>
      <c r="E16" s="153" t="s">
        <v>1066</v>
      </c>
      <c r="F16" s="153" t="s">
        <v>133</v>
      </c>
      <c r="G16" s="172">
        <v>45669.0</v>
      </c>
      <c r="H16" s="153" t="s">
        <v>173</v>
      </c>
      <c r="I16" s="153" t="s">
        <v>133</v>
      </c>
      <c r="J16" s="172">
        <v>45728.0</v>
      </c>
      <c r="K16" s="153" t="s">
        <v>165</v>
      </c>
      <c r="L16" s="153" t="s">
        <v>133</v>
      </c>
      <c r="M16" s="172">
        <v>45728.0</v>
      </c>
      <c r="N16" s="153" t="s">
        <v>166</v>
      </c>
      <c r="O16" s="156"/>
      <c r="P16" s="176"/>
      <c r="Q16" s="157"/>
      <c r="R16" s="177"/>
      <c r="S16" s="177"/>
      <c r="T16" s="177"/>
      <c r="U16" s="177"/>
      <c r="V16" s="177"/>
      <c r="W16" s="177"/>
      <c r="X16" s="177"/>
      <c r="Y16" s="177"/>
      <c r="Z16" s="177"/>
    </row>
    <row r="17" ht="55.5" customHeight="1" outlineLevel="1">
      <c r="A17" s="153" t="s">
        <v>1067</v>
      </c>
      <c r="B17" s="153" t="s">
        <v>1068</v>
      </c>
      <c r="C17" s="171" t="s">
        <v>1069</v>
      </c>
      <c r="D17" s="153" t="s">
        <v>1070</v>
      </c>
      <c r="E17" s="153" t="s">
        <v>1066</v>
      </c>
      <c r="F17" s="153" t="s">
        <v>133</v>
      </c>
      <c r="G17" s="172">
        <v>45669.0</v>
      </c>
      <c r="H17" s="153" t="s">
        <v>173</v>
      </c>
      <c r="I17" s="153" t="s">
        <v>133</v>
      </c>
      <c r="J17" s="172">
        <v>45728.0</v>
      </c>
      <c r="K17" s="153" t="s">
        <v>165</v>
      </c>
      <c r="L17" s="153" t="s">
        <v>133</v>
      </c>
      <c r="M17" s="172">
        <v>45728.0</v>
      </c>
      <c r="N17" s="153" t="s">
        <v>166</v>
      </c>
      <c r="O17" s="156"/>
      <c r="P17" s="176"/>
      <c r="Q17" s="157"/>
      <c r="R17" s="177"/>
      <c r="S17" s="177"/>
      <c r="T17" s="177"/>
      <c r="U17" s="177"/>
      <c r="V17" s="177"/>
      <c r="W17" s="177"/>
      <c r="X17" s="177"/>
      <c r="Y17" s="177"/>
      <c r="Z17" s="177"/>
    </row>
    <row r="18" ht="43.5" customHeight="1" outlineLevel="1">
      <c r="A18" s="153" t="s">
        <v>1071</v>
      </c>
      <c r="B18" s="153" t="s">
        <v>1072</v>
      </c>
      <c r="C18" s="171" t="s">
        <v>1073</v>
      </c>
      <c r="D18" s="153" t="s">
        <v>1074</v>
      </c>
      <c r="E18" s="153" t="s">
        <v>1075</v>
      </c>
      <c r="F18" s="153" t="s">
        <v>133</v>
      </c>
      <c r="G18" s="172">
        <v>45669.0</v>
      </c>
      <c r="H18" s="153" t="s">
        <v>173</v>
      </c>
      <c r="I18" s="153" t="s">
        <v>133</v>
      </c>
      <c r="J18" s="172">
        <v>45728.0</v>
      </c>
      <c r="K18" s="153" t="s">
        <v>165</v>
      </c>
      <c r="L18" s="153" t="s">
        <v>133</v>
      </c>
      <c r="M18" s="172">
        <v>45728.0</v>
      </c>
      <c r="N18" s="153" t="s">
        <v>166</v>
      </c>
      <c r="O18" s="156"/>
      <c r="P18" s="176"/>
      <c r="Q18" s="157"/>
      <c r="R18" s="177"/>
      <c r="S18" s="177"/>
      <c r="T18" s="177"/>
      <c r="U18" s="177"/>
      <c r="V18" s="177"/>
      <c r="W18" s="177"/>
      <c r="X18" s="177"/>
      <c r="Y18" s="177"/>
      <c r="Z18" s="177"/>
    </row>
    <row r="19" ht="43.5" customHeight="1" outlineLevel="1">
      <c r="A19" s="153" t="s">
        <v>1076</v>
      </c>
      <c r="B19" s="153" t="s">
        <v>1077</v>
      </c>
      <c r="C19" s="171" t="s">
        <v>1078</v>
      </c>
      <c r="D19" s="153" t="s">
        <v>1079</v>
      </c>
      <c r="E19" s="153" t="s">
        <v>1080</v>
      </c>
      <c r="F19" s="153" t="s">
        <v>133</v>
      </c>
      <c r="G19" s="172">
        <v>45669.0</v>
      </c>
      <c r="H19" s="153" t="s">
        <v>173</v>
      </c>
      <c r="I19" s="153" t="s">
        <v>133</v>
      </c>
      <c r="J19" s="172">
        <v>45728.0</v>
      </c>
      <c r="K19" s="153" t="s">
        <v>165</v>
      </c>
      <c r="L19" s="153" t="s">
        <v>133</v>
      </c>
      <c r="M19" s="172">
        <v>45728.0</v>
      </c>
      <c r="N19" s="153" t="s">
        <v>166</v>
      </c>
      <c r="O19" s="156"/>
      <c r="P19" s="176"/>
      <c r="Q19" s="157"/>
      <c r="R19" s="177"/>
      <c r="S19" s="177"/>
      <c r="T19" s="177"/>
      <c r="U19" s="177"/>
      <c r="V19" s="177"/>
      <c r="W19" s="177"/>
      <c r="X19" s="177"/>
      <c r="Y19" s="177"/>
      <c r="Z19" s="177"/>
    </row>
    <row r="20" ht="43.5" customHeight="1" outlineLevel="1">
      <c r="A20" s="153" t="s">
        <v>1081</v>
      </c>
      <c r="B20" s="153" t="s">
        <v>1082</v>
      </c>
      <c r="C20" s="171" t="s">
        <v>1083</v>
      </c>
      <c r="D20" s="153" t="s">
        <v>1084</v>
      </c>
      <c r="E20" s="153" t="s">
        <v>1085</v>
      </c>
      <c r="F20" s="153" t="s">
        <v>133</v>
      </c>
      <c r="G20" s="172">
        <v>45669.0</v>
      </c>
      <c r="H20" s="153" t="s">
        <v>173</v>
      </c>
      <c r="I20" s="153" t="s">
        <v>133</v>
      </c>
      <c r="J20" s="172">
        <v>45728.0</v>
      </c>
      <c r="K20" s="153" t="s">
        <v>165</v>
      </c>
      <c r="L20" s="153" t="s">
        <v>133</v>
      </c>
      <c r="M20" s="172">
        <v>45728.0</v>
      </c>
      <c r="N20" s="153" t="s">
        <v>166</v>
      </c>
      <c r="O20" s="156"/>
      <c r="P20" s="176"/>
      <c r="Q20" s="157"/>
      <c r="R20" s="177"/>
      <c r="S20" s="177"/>
      <c r="T20" s="177"/>
      <c r="U20" s="177"/>
      <c r="V20" s="177"/>
      <c r="W20" s="177"/>
      <c r="X20" s="177"/>
      <c r="Y20" s="177"/>
      <c r="Z20" s="177"/>
    </row>
    <row r="21" ht="43.5" customHeight="1" outlineLevel="1">
      <c r="A21" s="153" t="s">
        <v>1086</v>
      </c>
      <c r="B21" s="153" t="s">
        <v>1087</v>
      </c>
      <c r="C21" s="171" t="s">
        <v>1088</v>
      </c>
      <c r="D21" s="153" t="s">
        <v>1089</v>
      </c>
      <c r="E21" s="153" t="s">
        <v>1066</v>
      </c>
      <c r="F21" s="153" t="s">
        <v>133</v>
      </c>
      <c r="G21" s="172">
        <v>45669.0</v>
      </c>
      <c r="H21" s="153" t="s">
        <v>173</v>
      </c>
      <c r="I21" s="153" t="s">
        <v>133</v>
      </c>
      <c r="J21" s="172">
        <v>45728.0</v>
      </c>
      <c r="K21" s="153" t="s">
        <v>165</v>
      </c>
      <c r="L21" s="153" t="s">
        <v>133</v>
      </c>
      <c r="M21" s="172">
        <v>45728.0</v>
      </c>
      <c r="N21" s="153" t="s">
        <v>166</v>
      </c>
      <c r="O21" s="156"/>
      <c r="P21" s="176"/>
      <c r="Q21" s="157"/>
      <c r="R21" s="177"/>
      <c r="S21" s="177"/>
      <c r="T21" s="177"/>
      <c r="U21" s="177"/>
      <c r="V21" s="177"/>
      <c r="W21" s="177"/>
      <c r="X21" s="177"/>
      <c r="Y21" s="177"/>
      <c r="Z21" s="177"/>
    </row>
    <row r="22" ht="12.75" customHeight="1">
      <c r="A22" s="228" t="s">
        <v>1090</v>
      </c>
      <c r="B22" s="228" t="s">
        <v>1091</v>
      </c>
      <c r="C22" s="228" t="s">
        <v>1092</v>
      </c>
      <c r="D22" s="228" t="s">
        <v>1093</v>
      </c>
      <c r="E22" s="228" t="s">
        <v>1094</v>
      </c>
      <c r="F22" s="153" t="s">
        <v>133</v>
      </c>
      <c r="G22" s="172">
        <v>45669.0</v>
      </c>
      <c r="H22" s="153" t="s">
        <v>173</v>
      </c>
      <c r="I22" s="153" t="s">
        <v>133</v>
      </c>
      <c r="J22" s="172">
        <v>45728.0</v>
      </c>
      <c r="K22" s="153" t="s">
        <v>165</v>
      </c>
      <c r="L22" s="153" t="s">
        <v>133</v>
      </c>
      <c r="M22" s="172">
        <v>45728.0</v>
      </c>
      <c r="N22" s="153" t="s">
        <v>166</v>
      </c>
      <c r="O22" s="75"/>
      <c r="P22" s="68"/>
      <c r="Q22" s="121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228" t="s">
        <v>1095</v>
      </c>
      <c r="B23" s="228" t="s">
        <v>1096</v>
      </c>
      <c r="C23" s="228" t="s">
        <v>1097</v>
      </c>
      <c r="D23" s="228" t="s">
        <v>1098</v>
      </c>
      <c r="E23" s="228" t="s">
        <v>1094</v>
      </c>
      <c r="F23" s="153" t="s">
        <v>133</v>
      </c>
      <c r="G23" s="172">
        <v>45669.0</v>
      </c>
      <c r="H23" s="153" t="s">
        <v>173</v>
      </c>
      <c r="I23" s="153" t="s">
        <v>133</v>
      </c>
      <c r="J23" s="172">
        <v>45728.0</v>
      </c>
      <c r="K23" s="153" t="s">
        <v>165</v>
      </c>
      <c r="L23" s="153" t="s">
        <v>133</v>
      </c>
      <c r="M23" s="172">
        <v>45728.0</v>
      </c>
      <c r="N23" s="153" t="s">
        <v>166</v>
      </c>
      <c r="O23" s="75"/>
      <c r="P23" s="68"/>
      <c r="Q23" s="121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10"/>
      <c r="Q24" s="121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21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1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1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1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1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1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1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1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1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1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1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1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1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1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1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1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1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1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1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1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1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1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1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1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1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1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1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1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1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1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1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1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1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1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1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1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1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1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1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1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1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1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1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1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1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1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1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1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1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1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1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1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1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1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1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1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1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1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1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1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1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1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1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1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1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1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1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1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1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1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1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1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1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1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1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1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1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1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1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1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1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1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1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1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1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1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1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1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1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1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1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1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1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1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1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1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1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1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1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1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1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1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1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1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1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1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1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1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1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1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1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1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1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1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1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1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1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1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1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1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1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1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1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1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1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1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1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1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1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1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1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1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1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1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1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1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1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1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1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1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1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1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1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1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1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1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1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1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1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1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1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1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1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1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1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1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1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1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1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1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1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1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1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1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1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1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1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1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1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1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1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1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1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1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1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1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1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1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1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1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1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1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1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1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1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1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1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1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1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1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1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1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1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1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1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1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1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1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1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1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1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1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1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1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1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1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1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1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1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1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1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1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1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1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1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1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1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1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1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1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1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1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1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1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1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1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1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1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1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1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1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1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1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1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1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1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1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1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1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1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1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1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1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1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1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1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1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1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1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1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1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1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1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1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1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1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1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1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1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1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1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1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1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1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1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1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1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1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1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1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1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1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1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1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1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1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1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1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1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1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1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1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1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1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1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1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1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1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1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1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1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1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1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1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1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1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1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1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1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1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1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1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1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1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1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1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1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1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1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1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1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1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1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1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1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1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1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1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1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1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1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1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1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1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1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1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1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1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1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1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1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1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1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1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1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1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1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1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1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1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1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1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1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1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1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1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1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1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1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1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1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1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1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1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1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1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1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1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1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1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1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1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1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1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1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1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1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1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1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1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1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1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1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1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1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1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1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1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1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1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1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1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1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1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1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1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1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1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1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1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1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1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1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1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1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1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1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1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1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1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1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1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1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1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1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1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1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1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1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1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1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1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1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1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1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1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1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1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1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1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1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1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1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1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1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1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1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1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1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1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1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1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1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1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1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1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1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1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1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1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1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1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1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1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1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1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1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1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1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1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1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1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1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1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1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1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1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1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1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1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1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1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1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1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1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1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1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1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1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1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1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1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1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1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1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1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1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1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1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1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1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1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1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1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1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1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1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1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1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1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1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1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1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1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1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1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1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1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1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1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1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1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1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1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1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1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1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1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1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1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1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1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1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1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1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1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1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1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1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1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1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1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1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1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1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1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1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1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1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1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1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1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1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1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1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1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1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1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1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1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1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1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1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1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1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1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1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1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1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1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1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1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1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1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1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1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1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1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1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1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1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1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1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1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1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1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1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1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1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1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1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1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1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1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1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1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1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1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1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1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1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1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1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1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1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1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1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1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1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1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1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1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1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1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1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1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1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1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1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1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1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1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1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1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1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1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1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1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1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1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1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1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1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1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1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1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1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1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1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1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1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1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1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1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1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1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1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1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1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1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1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1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1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1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1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1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1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1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1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1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1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1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1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1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1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1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1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1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1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1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1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1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1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1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1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1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1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1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1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1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1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1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1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1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1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1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1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1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1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1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1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1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1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1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1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1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1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1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1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1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1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1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1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1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1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1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1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1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1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1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1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1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1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1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1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1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1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1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1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1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1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1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1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1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1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1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1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1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1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1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1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1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1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1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1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1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1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1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1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1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1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1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1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1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1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1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1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1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1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1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1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1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1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1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1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1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1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1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1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1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1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1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1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1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1"/>
      <c r="R984" s="10"/>
      <c r="S984" s="10"/>
      <c r="T984" s="10"/>
      <c r="U984" s="10"/>
      <c r="V984" s="10"/>
      <c r="W984" s="10"/>
      <c r="X984" s="10"/>
      <c r="Y984" s="10"/>
      <c r="Z984" s="10"/>
    </row>
  </sheetData>
  <mergeCells count="4">
    <mergeCell ref="B2:E2"/>
    <mergeCell ref="B3:E3"/>
    <mergeCell ref="B4:E4"/>
    <mergeCell ref="A11:O11"/>
  </mergeCells>
  <dataValidations>
    <dataValidation type="list" allowBlank="1" showErrorMessage="1" sqref="G2:G3 J2:J3 M2:M3 G9 J9 M9 F12:F23 I12:I23 L12:L23 G24:G129 J24:J129 M24:M129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:creator>Kien Nguyen</dc:creator>
</cp:coreProperties>
</file>